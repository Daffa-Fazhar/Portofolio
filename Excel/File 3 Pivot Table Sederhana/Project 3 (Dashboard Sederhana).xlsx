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azhar\Downloads\"/>
    </mc:Choice>
  </mc:AlternateContent>
  <xr:revisionPtr revIDLastSave="0" documentId="13_ncr:1_{6AC8C941-1FB5-455B-BCDF-678C5B25D2B3}" xr6:coauthVersionLast="47" xr6:coauthVersionMax="47" xr10:uidLastSave="{00000000-0000-0000-0000-000000000000}"/>
  <bookViews>
    <workbookView xWindow="-108" yWindow="-108" windowWidth="23256" windowHeight="12456" xr2:uid="{00000000-000D-0000-FFFF-FFFF00000000}"/>
  </bookViews>
  <sheets>
    <sheet name="Data Diri (Wajib Diisi)" sheetId="1" r:id="rId1"/>
    <sheet name="Data Acuan" sheetId="3" r:id="rId2"/>
    <sheet name="Jawaban" sheetId="2" r:id="rId3"/>
    <sheet name="Pivot Table Chart" sheetId="5" r:id="rId4"/>
    <sheet name="Dashboard" sheetId="6" r:id="rId5"/>
  </sheets>
  <definedNames>
    <definedName name="Slicer_NAMA_KELAS">#N/A</definedName>
    <definedName name="Slicer_RUTE">#N/A</definedName>
    <definedName name="Slicer_STATUS_BAGASI">#N/A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5" l="1"/>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6" i="2"/>
  <c r="F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I6" i="2" l="1"/>
</calcChain>
</file>

<file path=xl/sharedStrings.xml><?xml version="1.0" encoding="utf-8"?>
<sst xmlns="http://schemas.openxmlformats.org/spreadsheetml/2006/main" count="284" uniqueCount="226">
  <si>
    <t>Mohon lengkapi data berikut untuk kepentingan E-Certificate!</t>
  </si>
  <si>
    <t>Nama</t>
  </si>
  <si>
    <t>No. WhatsApp / ID Telegram</t>
  </si>
  <si>
    <t>E-mail</t>
  </si>
  <si>
    <t>Catatan: Untuk mengisi nomor whatsapp dan id telegram pilih salah satu jika masuk ke salah satu grup diskusi, dan isi keduanya jika masuk ke kedua grup diskusi</t>
  </si>
  <si>
    <t>🎓 UNJUK KETERAMPILAN MICROSOFT EXCEL BATCH 8 🎓</t>
  </si>
  <si>
    <t>Kasus -  Sistem Informasi Penerbangan Maskapai Ruyi Air</t>
  </si>
  <si>
    <t>Ilustrasi Soal:</t>
  </si>
  <si>
    <t>TABEL REFERENSI</t>
  </si>
  <si>
    <t>Periode: Januari 2026</t>
  </si>
  <si>
    <t>Kode Penerbangan</t>
  </si>
  <si>
    <t>Kode Kelas</t>
  </si>
  <si>
    <t>LOKA WIRANTA</t>
  </si>
  <si>
    <t>NA101</t>
  </si>
  <si>
    <t>E</t>
  </si>
  <si>
    <t>HANA LIN</t>
  </si>
  <si>
    <t>NA102</t>
  </si>
  <si>
    <t>B</t>
  </si>
  <si>
    <t>SANITA VELORA</t>
  </si>
  <si>
    <t>NA103</t>
  </si>
  <si>
    <t>VANYA RUSELINA</t>
  </si>
  <si>
    <t>NA104</t>
  </si>
  <si>
    <t>F</t>
  </si>
  <si>
    <t>REZA TARMOKO</t>
  </si>
  <si>
    <t>NA105</t>
  </si>
  <si>
    <t>DARGO MAWESTA</t>
  </si>
  <si>
    <t>TISYA AVENDRA</t>
  </si>
  <si>
    <t>KARYO LIMANTARA</t>
  </si>
  <si>
    <t>JEFRO MALANTARA</t>
  </si>
  <si>
    <t>BINAR KENDARTA</t>
  </si>
  <si>
    <t>CHIKA YURESTA</t>
  </si>
  <si>
    <t>MEI ZHANG</t>
  </si>
  <si>
    <t>LIU SHISHI</t>
  </si>
  <si>
    <t>ZHANG ROUNAN</t>
  </si>
  <si>
    <t>SONG ZUER</t>
  </si>
  <si>
    <t>VARO GHANTIRA</t>
  </si>
  <si>
    <t>ZHANG YUNLONG</t>
  </si>
  <si>
    <t>BAI JINTING</t>
  </si>
  <si>
    <t>LIU YUNING</t>
  </si>
  <si>
    <t>SELVI MAHARENTIYA</t>
  </si>
  <si>
    <t>ETHAN CHALLISTER</t>
  </si>
  <si>
    <t>DENO ABHYAKA</t>
  </si>
  <si>
    <t>LINDA SERWASTI</t>
  </si>
  <si>
    <t>CALVIN TRASMOKO</t>
  </si>
  <si>
    <t>YAVITA ORLENZA</t>
  </si>
  <si>
    <t>GALAN MERDANA</t>
  </si>
  <si>
    <t>SYIFA ANTAVERA</t>
  </si>
  <si>
    <t>NIRA ZALINDRA</t>
  </si>
  <si>
    <t>LIAM HARGROVE</t>
  </si>
  <si>
    <t>YICHEN LUO</t>
  </si>
  <si>
    <t>CHENG XIAO</t>
  </si>
  <si>
    <t>XU KAI</t>
  </si>
  <si>
    <t>SONG WEI LONG</t>
  </si>
  <si>
    <t>PUTRI MAWESTI</t>
  </si>
  <si>
    <t>MAWAR INDAH</t>
  </si>
  <si>
    <t>MALVIN SUHENDAR</t>
  </si>
  <si>
    <t>PINUTIAMI</t>
  </si>
  <si>
    <t>NASWENDA</t>
  </si>
  <si>
    <t>KUMALA INTAN</t>
  </si>
  <si>
    <t>WANG ANYU</t>
  </si>
  <si>
    <t>JU JINGYI</t>
  </si>
  <si>
    <t>CHEN DULIN</t>
  </si>
  <si>
    <t>HOU NEO</t>
  </si>
  <si>
    <t>ZHANG LIEHE</t>
  </si>
  <si>
    <t>DILRABA</t>
  </si>
  <si>
    <t>MOUNTIEANI</t>
  </si>
  <si>
    <t>DINASWARA</t>
  </si>
  <si>
    <t>TIAN XIWEI</t>
  </si>
  <si>
    <t>LI QIN</t>
  </si>
  <si>
    <t>ZHANG BICHEN</t>
  </si>
  <si>
    <t>NO</t>
  </si>
  <si>
    <t>NAMA PENUMPANG</t>
  </si>
  <si>
    <t>TANGGAL TERBANG</t>
  </si>
  <si>
    <t>KODE TIKET</t>
  </si>
  <si>
    <t>BK001-NA101-E</t>
  </si>
  <si>
    <t>BK002-NA102-B</t>
  </si>
  <si>
    <t>BK003-NA103-E</t>
  </si>
  <si>
    <t>BK004-NA104-F</t>
  </si>
  <si>
    <t>BK005-NA105-B</t>
  </si>
  <si>
    <t>BK006-NA101-E</t>
  </si>
  <si>
    <t>BK007-NA102-F</t>
  </si>
  <si>
    <t>BK008-NA103-E</t>
  </si>
  <si>
    <t>BK009-NA104-B</t>
  </si>
  <si>
    <t>BK010-NA105-F</t>
  </si>
  <si>
    <t>BK011-NA101-E</t>
  </si>
  <si>
    <t>BK012-NA102-B</t>
  </si>
  <si>
    <t>BK013-NA103-F</t>
  </si>
  <si>
    <t>BK014-NA104-E</t>
  </si>
  <si>
    <t>BK015-NA105-B</t>
  </si>
  <si>
    <t>BK016-NA101-F</t>
  </si>
  <si>
    <t>BK017-NA102-E</t>
  </si>
  <si>
    <t>BK018-NA103-B</t>
  </si>
  <si>
    <t>BK019-NA104-F</t>
  </si>
  <si>
    <t>BK020-NA105-E</t>
  </si>
  <si>
    <t>BK021-NA101-B</t>
  </si>
  <si>
    <t>BK022-NA102-F</t>
  </si>
  <si>
    <t>BK023-NA103-E</t>
  </si>
  <si>
    <t>BK024-NA104-B</t>
  </si>
  <si>
    <t>BK025-NA105-F</t>
  </si>
  <si>
    <t>BK026-NA101-E</t>
  </si>
  <si>
    <t>BK027-NA102-B</t>
  </si>
  <si>
    <t>BK028-NA103-F</t>
  </si>
  <si>
    <t>BK029-NA104-E</t>
  </si>
  <si>
    <t>BK030-NA105-B</t>
  </si>
  <si>
    <t>BK031-NA101-F</t>
  </si>
  <si>
    <t>BK032-NA102-E</t>
  </si>
  <si>
    <t>BK033-NA103-B</t>
  </si>
  <si>
    <t>BK034-NA104-F</t>
  </si>
  <si>
    <t>BK035-NA105-E</t>
  </si>
  <si>
    <t>BK036-NA101-B</t>
  </si>
  <si>
    <t>BK037-NA102-F</t>
  </si>
  <si>
    <t>BK038-NA103-E</t>
  </si>
  <si>
    <t>BK039-NA104-B</t>
  </si>
  <si>
    <t>BK040-NA105-F</t>
  </si>
  <si>
    <t>BK041-NA101-E</t>
  </si>
  <si>
    <t>BK042-NA102-B</t>
  </si>
  <si>
    <t>BK043-NA103-F</t>
  </si>
  <si>
    <t>BK044-NA104-E</t>
  </si>
  <si>
    <t>BK045-NA105-B</t>
  </si>
  <si>
    <t>BK046-NA101-F</t>
  </si>
  <si>
    <t>BK047-NA102-E</t>
  </si>
  <si>
    <t>BK048-NA103-B</t>
  </si>
  <si>
    <t>BK049-NA104-F</t>
  </si>
  <si>
    <t>BK050-NA105-E</t>
  </si>
  <si>
    <t>Rute</t>
  </si>
  <si>
    <t>Jam Berangkat</t>
  </si>
  <si>
    <t>Jam Tiba</t>
  </si>
  <si>
    <t>Harga Dasar</t>
  </si>
  <si>
    <t>Jakarta – Bali</t>
  </si>
  <si>
    <t>Jakarta – Surabaya</t>
  </si>
  <si>
    <t>Jakarta – Medan</t>
  </si>
  <si>
    <t>Jakarta – Makassar</t>
  </si>
  <si>
    <t>Jakarta – Lombok</t>
  </si>
  <si>
    <t>2) REFERENSI KELAS KURSI</t>
  </si>
  <si>
    <t>Nama Kelas</t>
  </si>
  <si>
    <t>Faktor Harga</t>
  </si>
  <si>
    <t>Economy</t>
  </si>
  <si>
    <t>Business</t>
  </si>
  <si>
    <t>First Class</t>
  </si>
  <si>
    <t>RUTE</t>
  </si>
  <si>
    <t>JAM BERANGKAT</t>
  </si>
  <si>
    <t>JAM TIBA</t>
  </si>
  <si>
    <t>NAMA KELAS</t>
  </si>
  <si>
    <t>FAKTOR HARGA</t>
  </si>
  <si>
    <t>TARIF BAGASI TAMBAHAN</t>
  </si>
  <si>
    <t>HARGA TIKET KELAS</t>
  </si>
  <si>
    <t>HARGA DASAR</t>
  </si>
  <si>
    <t>TOTAL BIAYA</t>
  </si>
  <si>
    <t>STATUS BAGASI</t>
  </si>
  <si>
    <t>DURASI</t>
  </si>
  <si>
    <t>STATUS JARAK</t>
  </si>
  <si>
    <r>
      <t xml:space="preserve">Gunakan data pada </t>
    </r>
    <r>
      <rPr>
        <b/>
        <sz val="11"/>
        <color theme="1"/>
        <rFont val="Calibri"/>
        <family val="2"/>
        <scheme val="minor"/>
      </rPr>
      <t xml:space="preserve">Sheet Jawaban </t>
    </r>
    <r>
      <rPr>
        <sz val="11"/>
        <color theme="1"/>
        <rFont val="Calibri"/>
        <family val="2"/>
        <scheme val="minor"/>
      </rPr>
      <t>untuk mengisi kolom jawaban.</t>
    </r>
  </si>
  <si>
    <r>
      <t xml:space="preserve">Ambil data referensi dari </t>
    </r>
    <r>
      <rPr>
        <b/>
        <sz val="11"/>
        <color theme="1"/>
        <rFont val="Calibri"/>
        <family val="2"/>
        <scheme val="minor"/>
      </rPr>
      <t>Sheet Data Acuan</t>
    </r>
    <r>
      <rPr>
        <sz val="11"/>
        <color theme="1"/>
        <rFont val="Calibri"/>
        <family val="2"/>
        <scheme val="minor"/>
      </rPr>
      <t>.</t>
    </r>
  </si>
  <si>
    <r>
      <t xml:space="preserve">Pastikan menggunakan </t>
    </r>
    <r>
      <rPr>
        <b/>
        <sz val="11"/>
        <color theme="1"/>
        <rFont val="Calibri"/>
        <family val="2"/>
        <scheme val="minor"/>
      </rPr>
      <t>Absolute Reference ($)</t>
    </r>
    <r>
      <rPr>
        <sz val="11"/>
        <color theme="1"/>
        <rFont val="Calibri"/>
        <family val="2"/>
        <scheme val="minor"/>
      </rPr>
      <t xml:space="preserve"> pada setiap rumus yang merujuk ke tabel referensi.</t>
    </r>
  </si>
  <si>
    <t>●</t>
  </si>
  <si>
    <t>INSTRUKSI PENGERJAAN:</t>
  </si>
  <si>
    <t>1) REFERENSI PENERBANGAN</t>
  </si>
  <si>
    <r>
      <t xml:space="preserve">Hitung selisih antara </t>
    </r>
    <r>
      <rPr>
        <i/>
        <sz val="11"/>
        <color theme="1"/>
        <rFont val="Calibri"/>
        <family val="2"/>
        <scheme val="minor"/>
      </rPr>
      <t>Jam Tiba</t>
    </r>
    <r>
      <rPr>
        <sz val="11"/>
        <color theme="1"/>
        <rFont val="Calibri"/>
        <family val="2"/>
        <scheme val="minor"/>
      </rPr>
      <t xml:space="preserve"> dan </t>
    </r>
    <r>
      <rPr>
        <i/>
        <sz val="11"/>
        <color theme="1"/>
        <rFont val="Calibri"/>
        <family val="2"/>
        <scheme val="minor"/>
      </rPr>
      <t>Jam Berangkat</t>
    </r>
    <r>
      <rPr>
        <sz val="11"/>
        <color theme="1"/>
        <rFont val="Calibri"/>
        <family val="2"/>
        <scheme val="minor"/>
      </rPr>
      <t>.</t>
    </r>
  </si>
  <si>
    <t>Catatan: Pastikan format sel adalah Time (hh:mm).</t>
  </si>
  <si>
    <r>
      <t xml:space="preserve">Isi kolom rute berdasarkan </t>
    </r>
    <r>
      <rPr>
        <i/>
        <sz val="11"/>
        <color theme="1"/>
        <rFont val="Calibri"/>
        <family val="2"/>
        <scheme val="minor"/>
      </rPr>
      <t>Kode Penerbangan</t>
    </r>
    <r>
      <rPr>
        <sz val="11"/>
        <color theme="1"/>
        <rFont val="Calibri"/>
        <family val="2"/>
        <scheme val="minor"/>
      </rPr>
      <t xml:space="preserve"> yang diambil dari kolom</t>
    </r>
    <r>
      <rPr>
        <b/>
        <sz val="11"/>
        <color theme="1"/>
        <rFont val="Calibri"/>
        <family val="2"/>
        <scheme val="minor"/>
      </rPr>
      <t xml:space="preserve"> Kode Tiket</t>
    </r>
    <r>
      <rPr>
        <sz val="11"/>
        <color theme="1"/>
        <rFont val="Calibri"/>
        <family val="2"/>
        <scheme val="minor"/>
      </rPr>
      <t xml:space="preserve">, dengan mengacu pada </t>
    </r>
    <r>
      <rPr>
        <b/>
        <sz val="11"/>
        <color theme="1"/>
        <rFont val="Calibri"/>
        <family val="2"/>
        <scheme val="minor"/>
      </rPr>
      <t>tabel referensi</t>
    </r>
    <r>
      <rPr>
        <sz val="11"/>
        <color theme="1"/>
        <rFont val="Calibri"/>
        <family val="2"/>
        <scheme val="minor"/>
      </rPr>
      <t xml:space="preserve"> di Sheet Data Acuan.</t>
    </r>
  </si>
  <si>
    <r>
      <t xml:space="preserve">Isi kolom jam berangkat berdasarkan </t>
    </r>
    <r>
      <rPr>
        <i/>
        <sz val="11"/>
        <color theme="1"/>
        <rFont val="Calibri"/>
        <family val="2"/>
        <scheme val="minor"/>
      </rPr>
      <t>Kode Penerbangan</t>
    </r>
    <r>
      <rPr>
        <sz val="11"/>
        <color theme="1"/>
        <rFont val="Calibri"/>
        <family val="2"/>
        <scheme val="minor"/>
      </rPr>
      <t xml:space="preserve"> yang diambil dari kolom</t>
    </r>
    <r>
      <rPr>
        <b/>
        <sz val="11"/>
        <color theme="1"/>
        <rFont val="Calibri"/>
        <family val="2"/>
        <scheme val="minor"/>
      </rPr>
      <t xml:space="preserve"> Kode Tiket</t>
    </r>
    <r>
      <rPr>
        <sz val="11"/>
        <color theme="1"/>
        <rFont val="Calibri"/>
        <family val="2"/>
        <scheme val="minor"/>
      </rPr>
      <t xml:space="preserve">, dengan mengacu pada </t>
    </r>
    <r>
      <rPr>
        <b/>
        <sz val="11"/>
        <color theme="1"/>
        <rFont val="Calibri"/>
        <family val="2"/>
        <scheme val="minor"/>
      </rPr>
      <t>tabel referensi</t>
    </r>
    <r>
      <rPr>
        <sz val="11"/>
        <color theme="1"/>
        <rFont val="Calibri"/>
        <family val="2"/>
        <scheme val="minor"/>
      </rPr>
      <t xml:space="preserve"> di Sheet Data Acuan.</t>
    </r>
  </si>
  <si>
    <r>
      <t xml:space="preserve">Isi kolom jam tiba berdasarkan </t>
    </r>
    <r>
      <rPr>
        <i/>
        <sz val="11"/>
        <color theme="1"/>
        <rFont val="Calibri"/>
        <family val="2"/>
        <scheme val="minor"/>
      </rPr>
      <t>Kode Penerbangan</t>
    </r>
    <r>
      <rPr>
        <sz val="11"/>
        <color theme="1"/>
        <rFont val="Calibri"/>
        <family val="2"/>
        <scheme val="minor"/>
      </rPr>
      <t xml:space="preserve"> yang diambil dari kolom</t>
    </r>
    <r>
      <rPr>
        <b/>
        <sz val="11"/>
        <color theme="1"/>
        <rFont val="Calibri"/>
        <family val="2"/>
        <scheme val="minor"/>
      </rPr>
      <t xml:space="preserve"> Kode Tiket</t>
    </r>
    <r>
      <rPr>
        <sz val="11"/>
        <color theme="1"/>
        <rFont val="Calibri"/>
        <family val="2"/>
        <scheme val="minor"/>
      </rPr>
      <t xml:space="preserve">, dengan mengacu pada </t>
    </r>
    <r>
      <rPr>
        <b/>
        <sz val="11"/>
        <color theme="1"/>
        <rFont val="Calibri"/>
        <family val="2"/>
        <scheme val="minor"/>
      </rPr>
      <t>tabel referensi</t>
    </r>
    <r>
      <rPr>
        <sz val="11"/>
        <color theme="1"/>
        <rFont val="Calibri"/>
        <family val="2"/>
        <scheme val="minor"/>
      </rPr>
      <t xml:space="preserve"> di Sheet Data Acuan.</t>
    </r>
  </si>
  <si>
    <r>
      <t xml:space="preserve">Isi kolom harga dasar berdasarkan </t>
    </r>
    <r>
      <rPr>
        <i/>
        <sz val="11"/>
        <color theme="1"/>
        <rFont val="Calibri"/>
        <family val="2"/>
        <scheme val="minor"/>
      </rPr>
      <t>Kode Penerbangan</t>
    </r>
    <r>
      <rPr>
        <sz val="11"/>
        <color theme="1"/>
        <rFont val="Calibri"/>
        <family val="2"/>
        <scheme val="minor"/>
      </rPr>
      <t xml:space="preserve"> yang diambil dari kolom</t>
    </r>
    <r>
      <rPr>
        <b/>
        <sz val="11"/>
        <color theme="1"/>
        <rFont val="Calibri"/>
        <family val="2"/>
        <scheme val="minor"/>
      </rPr>
      <t xml:space="preserve"> Kode Tiket</t>
    </r>
    <r>
      <rPr>
        <sz val="11"/>
        <color theme="1"/>
        <rFont val="Calibri"/>
        <family val="2"/>
        <scheme val="minor"/>
      </rPr>
      <t xml:space="preserve">, dengan mengacu pada </t>
    </r>
    <r>
      <rPr>
        <b/>
        <sz val="11"/>
        <color theme="1"/>
        <rFont val="Calibri"/>
        <family val="2"/>
        <scheme val="minor"/>
      </rPr>
      <t>tabel referensi</t>
    </r>
    <r>
      <rPr>
        <sz val="11"/>
        <color theme="1"/>
        <rFont val="Calibri"/>
        <family val="2"/>
        <scheme val="minor"/>
      </rPr>
      <t xml:space="preserve"> di Sheet Data Acuan.</t>
    </r>
  </si>
  <si>
    <r>
      <t xml:space="preserve">Isi kolom faktor harga berdasarkan </t>
    </r>
    <r>
      <rPr>
        <i/>
        <sz val="11"/>
        <color theme="1"/>
        <rFont val="Calibri"/>
        <family val="2"/>
        <scheme val="minor"/>
      </rPr>
      <t>Kode Kelas</t>
    </r>
    <r>
      <rPr>
        <sz val="11"/>
        <color theme="1"/>
        <rFont val="Calibri"/>
        <family val="2"/>
        <scheme val="minor"/>
      </rPr>
      <t xml:space="preserve"> yang diambil dari 1 karakter terakhir di kolom </t>
    </r>
    <r>
      <rPr>
        <b/>
        <sz val="11"/>
        <color theme="1"/>
        <rFont val="Calibri"/>
        <family val="2"/>
        <scheme val="minor"/>
      </rPr>
      <t>Kode Tiket</t>
    </r>
    <r>
      <rPr>
        <sz val="11"/>
        <color theme="1"/>
        <rFont val="Calibri"/>
        <family val="2"/>
        <scheme val="minor"/>
      </rPr>
      <t>, dengan mengacu pada t</t>
    </r>
    <r>
      <rPr>
        <b/>
        <sz val="11"/>
        <color theme="1"/>
        <rFont val="Calibri"/>
        <family val="2"/>
        <scheme val="minor"/>
      </rPr>
      <t>abel referensi kelas</t>
    </r>
    <r>
      <rPr>
        <sz val="11"/>
        <color theme="1"/>
        <rFont val="Calibri"/>
        <family val="2"/>
        <scheme val="minor"/>
      </rPr>
      <t xml:space="preserve"> di Sheet Data Acuan.</t>
    </r>
  </si>
  <si>
    <r>
      <t xml:space="preserve">Isi kolom nama kelas berdasarkan </t>
    </r>
    <r>
      <rPr>
        <i/>
        <sz val="11"/>
        <color theme="1"/>
        <rFont val="Calibri"/>
        <family val="2"/>
        <scheme val="minor"/>
      </rPr>
      <t>Kode Kelas</t>
    </r>
    <r>
      <rPr>
        <sz val="11"/>
        <color theme="1"/>
        <rFont val="Calibri"/>
        <family val="2"/>
        <scheme val="minor"/>
      </rPr>
      <t xml:space="preserve"> yang diambil dari 1 karakter terakhir di kolom </t>
    </r>
    <r>
      <rPr>
        <b/>
        <sz val="11"/>
        <color theme="1"/>
        <rFont val="Calibri"/>
        <family val="2"/>
        <scheme val="minor"/>
      </rPr>
      <t>Kode Tiket</t>
    </r>
    <r>
      <rPr>
        <sz val="11"/>
        <color theme="1"/>
        <rFont val="Calibri"/>
        <family val="2"/>
        <scheme val="minor"/>
      </rPr>
      <t>, dengan mengacu pada t</t>
    </r>
    <r>
      <rPr>
        <b/>
        <sz val="11"/>
        <color theme="1"/>
        <rFont val="Calibri"/>
        <family val="2"/>
        <scheme val="minor"/>
      </rPr>
      <t>abel referensi kelas</t>
    </r>
    <r>
      <rPr>
        <sz val="11"/>
        <color theme="1"/>
        <rFont val="Calibri"/>
        <family val="2"/>
        <scheme val="minor"/>
      </rPr>
      <t xml:space="preserve"> di Sheet Data Acuan.</t>
    </r>
  </si>
  <si>
    <t>Catatan: Faktor Harga adalah angka pengali (koefisien) yang digunakan untuk menentukan harga akhir tiket berdasarkan kelas kursi yang dipilih oleh penumpang. Dalam sistem database, faktor ini berfungsi sebagai indeks pembeda nilai antara layanan standar dan layanan premium.</t>
  </si>
  <si>
    <r>
      <t xml:space="preserve">Isi kolom harga tiket kelas dengan mengalikan kolom </t>
    </r>
    <r>
      <rPr>
        <i/>
        <sz val="11"/>
        <color theme="1"/>
        <rFont val="Calibri"/>
        <family val="2"/>
        <scheme val="minor"/>
      </rPr>
      <t>Harga Dasar</t>
    </r>
    <r>
      <rPr>
        <sz val="11"/>
        <color theme="1"/>
        <rFont val="Calibri"/>
        <family val="2"/>
        <scheme val="minor"/>
      </rPr>
      <t xml:space="preserve"> dengan kolom </t>
    </r>
    <r>
      <rPr>
        <i/>
        <sz val="11"/>
        <color theme="1"/>
        <rFont val="Calibri"/>
        <family val="2"/>
        <scheme val="minor"/>
      </rPr>
      <t>Faktor Harga</t>
    </r>
    <r>
      <rPr>
        <sz val="11"/>
        <color theme="1"/>
        <rFont val="Calibri"/>
        <family val="2"/>
        <scheme val="minor"/>
      </rPr>
      <t>.</t>
    </r>
  </si>
  <si>
    <r>
      <t xml:space="preserve">Isi kolom besarnya tarif tambahan bagasi berdasarkan </t>
    </r>
    <r>
      <rPr>
        <b/>
        <sz val="11"/>
        <color theme="1"/>
        <rFont val="Calibri"/>
        <family val="2"/>
        <scheme val="minor"/>
      </rPr>
      <t>Berat Bagasi</t>
    </r>
    <r>
      <rPr>
        <sz val="11"/>
        <color theme="1"/>
        <rFont val="Calibri"/>
        <family val="2"/>
        <scheme val="minor"/>
      </rPr>
      <t>, dengan ketentuan sebagai berikut:
- Jika berat bagasi lebih besar sama dengan 40 kg, maka tarif bagasi tambahan sebesar Rp 800.000.
- Jika lebih besar sama dengan 35 kg, maka Rp 500.000.
- Jika lebih besar sama dengan 30 kg, maka Rp 300.000.
- Jika lebih besar sama dengan 25 kg, maka Rp 150.000.
- Jika berat di bawah 25 kg, maka tidak dikenakan biaya tambahan (Rp 0).</t>
    </r>
  </si>
  <si>
    <r>
      <t>Isi kolom total biaya dengan menjumlahkan kolom</t>
    </r>
    <r>
      <rPr>
        <i/>
        <sz val="11"/>
        <color theme="1"/>
        <rFont val="Calibri"/>
        <family val="2"/>
        <scheme val="minor"/>
      </rPr>
      <t xml:space="preserve"> Harga Tiket Kelas</t>
    </r>
    <r>
      <rPr>
        <sz val="11"/>
        <color theme="1"/>
        <rFont val="Calibri"/>
        <family val="2"/>
        <scheme val="minor"/>
      </rPr>
      <t xml:space="preserve"> dengan kolom </t>
    </r>
    <r>
      <rPr>
        <i/>
        <sz val="11"/>
        <color theme="1"/>
        <rFont val="Calibri"/>
        <family val="2"/>
        <scheme val="minor"/>
      </rPr>
      <t>Tarif Tambahan Bagasi</t>
    </r>
    <r>
      <rPr>
        <sz val="11"/>
        <color theme="1"/>
        <rFont val="Calibri"/>
        <family val="2"/>
        <scheme val="minor"/>
      </rPr>
      <t>.</t>
    </r>
  </si>
  <si>
    <r>
      <t xml:space="preserve">Isi kolom status bagasi, dengan ketentuan:
- Jika berat bagasi penumpang </t>
    </r>
    <r>
      <rPr>
        <b/>
        <sz val="11"/>
        <color theme="1"/>
        <rFont val="Calibri"/>
        <family val="2"/>
        <scheme val="minor"/>
      </rPr>
      <t>di bawah atau sama dengan 20 kg</t>
    </r>
    <r>
      <rPr>
        <sz val="11"/>
        <color theme="1"/>
        <rFont val="Calibri"/>
        <family val="2"/>
        <scheme val="minor"/>
      </rPr>
      <t xml:space="preserve">, maka berikan status </t>
    </r>
    <r>
      <rPr>
        <b/>
        <sz val="11"/>
        <color theme="1"/>
        <rFont val="Calibri"/>
        <family val="2"/>
        <scheme val="minor"/>
      </rPr>
      <t>"Gratis"</t>
    </r>
    <r>
      <rPr>
        <sz val="11"/>
        <color theme="1"/>
        <rFont val="Calibri"/>
        <family val="2"/>
        <scheme val="minor"/>
      </rPr>
      <t xml:space="preserve">.
- Jika lebih dari itu, berikan status </t>
    </r>
    <r>
      <rPr>
        <b/>
        <sz val="11"/>
        <color theme="1"/>
        <rFont val="Calibri"/>
        <family val="2"/>
        <scheme val="minor"/>
      </rPr>
      <t>"Berbayar"</t>
    </r>
    <r>
      <rPr>
        <sz val="11"/>
        <color theme="1"/>
        <rFont val="Calibri"/>
        <family val="2"/>
        <scheme val="minor"/>
      </rPr>
      <t>.</t>
    </r>
  </si>
  <si>
    <r>
      <t xml:space="preserve">Gunakan fungsi </t>
    </r>
    <r>
      <rPr>
        <b/>
        <sz val="11"/>
        <color theme="1"/>
        <rFont val="Calibri"/>
        <family val="2"/>
        <scheme val="minor"/>
      </rPr>
      <t>IF</t>
    </r>
    <r>
      <rPr>
        <sz val="11"/>
        <color theme="1"/>
        <rFont val="Calibri"/>
        <family val="2"/>
        <scheme val="minor"/>
      </rPr>
      <t xml:space="preserve"> yang dikombinasikan dengan fungsi </t>
    </r>
    <r>
      <rPr>
        <b/>
        <sz val="11"/>
        <color theme="1"/>
        <rFont val="Calibri"/>
        <family val="2"/>
        <scheme val="minor"/>
      </rPr>
      <t>TIME</t>
    </r>
    <r>
      <rPr>
        <sz val="11"/>
        <color theme="1"/>
        <rFont val="Calibri"/>
        <family val="2"/>
        <scheme val="minor"/>
      </rPr>
      <t xml:space="preserve"> untuk menentukan status jarak, dengan ketentuan:
- Jika </t>
    </r>
    <r>
      <rPr>
        <b/>
        <sz val="11"/>
        <color theme="1"/>
        <rFont val="Calibri"/>
        <family val="2"/>
        <scheme val="minor"/>
      </rPr>
      <t>Durasi</t>
    </r>
    <r>
      <rPr>
        <sz val="11"/>
        <color theme="1"/>
        <rFont val="Calibri"/>
        <family val="2"/>
        <scheme val="minor"/>
      </rPr>
      <t xml:space="preserve"> terbang lebih dari </t>
    </r>
    <r>
      <rPr>
        <b/>
        <sz val="11"/>
        <color theme="1"/>
        <rFont val="Calibri"/>
        <family val="2"/>
        <scheme val="minor"/>
      </rPr>
      <t>01:30:00</t>
    </r>
    <r>
      <rPr>
        <sz val="11"/>
        <color theme="1"/>
        <rFont val="Calibri"/>
        <family val="2"/>
        <scheme val="minor"/>
      </rPr>
      <t xml:space="preserve"> (1 jam 30 menit), maka statusnya adalah </t>
    </r>
    <r>
      <rPr>
        <b/>
        <sz val="11"/>
        <color theme="1"/>
        <rFont val="Calibri"/>
        <family val="2"/>
        <scheme val="minor"/>
      </rPr>
      <t>"Jarak Jauh"</t>
    </r>
    <r>
      <rPr>
        <sz val="11"/>
        <color theme="1"/>
        <rFont val="Calibri"/>
        <family val="2"/>
        <scheme val="minor"/>
      </rPr>
      <t xml:space="preserve">.
- Jika tidak, maka statusnya </t>
    </r>
    <r>
      <rPr>
        <b/>
        <sz val="11"/>
        <color theme="1"/>
        <rFont val="Calibri"/>
        <family val="2"/>
        <scheme val="minor"/>
      </rPr>
      <t>"Jarak Dekat"</t>
    </r>
    <r>
      <rPr>
        <sz val="11"/>
        <color theme="1"/>
        <rFont val="Calibri"/>
        <family val="2"/>
        <scheme val="minor"/>
      </rPr>
      <t>.</t>
    </r>
  </si>
  <si>
    <t>DATA TRANSAKSI PENUMPANG MASKAPAI RUYI AIR</t>
  </si>
  <si>
    <r>
      <t>Maskapai</t>
    </r>
    <r>
      <rPr>
        <b/>
        <sz val="11"/>
        <color theme="1"/>
        <rFont val="Calibri"/>
        <family val="2"/>
        <scheme val="minor"/>
      </rPr>
      <t xml:space="preserve"> Ruyi Air</t>
    </r>
    <r>
      <rPr>
        <sz val="11"/>
        <color theme="1"/>
        <rFont val="Calibri"/>
        <family val="2"/>
        <scheme val="minor"/>
      </rPr>
      <t xml:space="preserve"> memiliki sistem informasi penerbangan yang digunakan untuk mencatat data penumpang, kode tiket, jadwal penerbangan, kelas kursi, serta perhitungan biaya tambahan bagasi.
Saat ini, data masih tersimpan dalam beberapa</t>
    </r>
    <r>
      <rPr>
        <b/>
        <sz val="11"/>
        <color theme="1"/>
        <rFont val="Calibri"/>
        <family val="2"/>
        <scheme val="minor"/>
      </rPr>
      <t xml:space="preserve"> tabel referensi terpisah</t>
    </r>
    <r>
      <rPr>
        <sz val="11"/>
        <color theme="1"/>
        <rFont val="Calibri"/>
        <family val="2"/>
        <scheme val="minor"/>
      </rPr>
      <t>. Untuk menghasilkan laporan biaya penumpang yang</t>
    </r>
    <r>
      <rPr>
        <b/>
        <sz val="11"/>
        <color theme="1"/>
        <rFont val="Calibri"/>
        <family val="2"/>
        <scheme val="minor"/>
      </rPr>
      <t xml:space="preserve"> otomatis, akurat, dan konsisten</t>
    </r>
    <r>
      <rPr>
        <sz val="11"/>
        <color theme="1"/>
        <rFont val="Calibri"/>
        <family val="2"/>
        <scheme val="minor"/>
      </rPr>
      <t>, diperlukan pengolahan data menggunakan</t>
    </r>
    <r>
      <rPr>
        <b/>
        <sz val="11"/>
        <color theme="1"/>
        <rFont val="Calibri"/>
        <family val="2"/>
        <scheme val="minor"/>
      </rPr>
      <t xml:space="preserve"> rumus Excel</t>
    </r>
    <r>
      <rPr>
        <sz val="11"/>
        <color theme="1"/>
        <rFont val="Calibri"/>
        <family val="2"/>
        <scheme val="minor"/>
      </rPr>
      <t xml:space="preserve">, khususnya: </t>
    </r>
    <r>
      <rPr>
        <b/>
        <sz val="11"/>
        <color theme="1"/>
        <rFont val="Calibri"/>
        <family val="2"/>
        <scheme val="minor"/>
      </rPr>
      <t>VLOOKUP, HLOOKUP, IF (Logika)</t>
    </r>
    <r>
      <rPr>
        <sz val="11"/>
        <color theme="1"/>
        <rFont val="Calibri"/>
        <family val="2"/>
        <scheme val="minor"/>
      </rPr>
      <t>.
Peserta ujian diminta menyusun rumus Excel</t>
    </r>
    <r>
      <rPr>
        <b/>
        <sz val="11"/>
        <color theme="1"/>
        <rFont val="Calibri"/>
        <family val="2"/>
        <scheme val="minor"/>
      </rPr>
      <t xml:space="preserve"> tanpa input manual nilai</t>
    </r>
    <r>
      <rPr>
        <sz val="11"/>
        <color theme="1"/>
        <rFont val="Calibri"/>
        <family val="2"/>
        <scheme val="minor"/>
      </rPr>
      <t xml:space="preserve">, serta </t>
    </r>
    <r>
      <rPr>
        <b/>
        <sz val="11"/>
        <color theme="1"/>
        <rFont val="Calibri"/>
        <family val="2"/>
        <scheme val="minor"/>
      </rPr>
      <t>tidak mengubah struktur tabel referensi</t>
    </r>
    <r>
      <rPr>
        <sz val="11"/>
        <color theme="1"/>
        <rFont val="Calibri"/>
        <family val="2"/>
        <scheme val="minor"/>
      </rPr>
      <t>.</t>
    </r>
  </si>
  <si>
    <t>BERAT BAGASI
(Kg)</t>
  </si>
  <si>
    <t>Jawaban Pivot Table:</t>
  </si>
  <si>
    <r>
      <t xml:space="preserve">Petunjuk Umum </t>
    </r>
    <r>
      <rPr>
        <i/>
        <sz val="11"/>
        <color theme="1"/>
        <rFont val="Calibri"/>
        <family val="2"/>
        <scheme val="minor"/>
      </rPr>
      <t>(Mengisi Sheet Jawaban)</t>
    </r>
    <r>
      <rPr>
        <sz val="11"/>
        <color theme="1"/>
        <rFont val="Calibri"/>
        <family val="2"/>
        <scheme val="minor"/>
      </rPr>
      <t>:</t>
    </r>
  </si>
  <si>
    <r>
      <t xml:space="preserve">Gunakan data transaksi penerbangan yang ada di Sheet Jawaban untuk membuat laporan ringkasan dalam bentuk </t>
    </r>
    <r>
      <rPr>
        <b/>
        <sz val="11"/>
        <color theme="1"/>
        <rFont val="Calibri"/>
        <family val="2"/>
        <scheme val="minor"/>
      </rPr>
      <t>3 Pivot Table</t>
    </r>
    <r>
      <rPr>
        <sz val="11"/>
        <color theme="1"/>
        <rFont val="Calibri"/>
        <family val="2"/>
        <scheme val="minor"/>
      </rPr>
      <t xml:space="preserve"> dan </t>
    </r>
    <r>
      <rPr>
        <b/>
        <sz val="11"/>
        <color theme="1"/>
        <rFont val="Calibri"/>
        <family val="2"/>
        <scheme val="minor"/>
      </rPr>
      <t>3 Pivot Chart</t>
    </r>
    <r>
      <rPr>
        <sz val="11"/>
        <color theme="1"/>
        <rFont val="Calibri"/>
        <family val="2"/>
        <scheme val="minor"/>
      </rPr>
      <t xml:space="preserve"> yang saling terhubung.</t>
    </r>
  </si>
  <si>
    <t>Analisis Pendapatan Per Rute dan Kelas</t>
  </si>
  <si>
    <r>
      <t>Soal ini bertujuan untuk melihat</t>
    </r>
    <r>
      <rPr>
        <b/>
        <sz val="11"/>
        <color theme="1"/>
        <rFont val="Calibri"/>
        <family val="2"/>
        <scheme val="minor"/>
      </rPr>
      <t xml:space="preserve"> kontribusi setiap kelas</t>
    </r>
    <r>
      <rPr>
        <sz val="11"/>
        <color theme="1"/>
        <rFont val="Calibri"/>
        <family val="2"/>
        <scheme val="minor"/>
      </rPr>
      <t xml:space="preserve"> terhadap</t>
    </r>
    <r>
      <rPr>
        <b/>
        <sz val="11"/>
        <color theme="1"/>
        <rFont val="Calibri"/>
        <family val="2"/>
        <scheme val="minor"/>
      </rPr>
      <t xml:space="preserve"> total pendapatan</t>
    </r>
    <r>
      <rPr>
        <sz val="11"/>
        <color theme="1"/>
        <rFont val="Calibri"/>
        <family val="2"/>
        <scheme val="minor"/>
      </rPr>
      <t xml:space="preserve"> di </t>
    </r>
    <r>
      <rPr>
        <b/>
        <sz val="11"/>
        <color theme="1"/>
        <rFont val="Calibri"/>
        <family val="2"/>
        <scheme val="minor"/>
      </rPr>
      <t>tiap rute</t>
    </r>
    <r>
      <rPr>
        <sz val="11"/>
        <color theme="1"/>
        <rFont val="Calibri"/>
        <family val="2"/>
        <scheme val="minor"/>
      </rPr>
      <t>.</t>
    </r>
  </si>
  <si>
    <r>
      <t xml:space="preserve">Format: </t>
    </r>
    <r>
      <rPr>
        <sz val="11"/>
        <color theme="1"/>
        <rFont val="Calibri"/>
        <family val="2"/>
        <scheme val="minor"/>
      </rPr>
      <t xml:space="preserve">Ubah format angka menjadi </t>
    </r>
    <r>
      <rPr>
        <b/>
        <sz val="11"/>
        <color theme="1"/>
        <rFont val="Calibri"/>
        <family val="2"/>
        <scheme val="minor"/>
      </rPr>
      <t>Accounting (Rp)</t>
    </r>
    <r>
      <rPr>
        <sz val="11"/>
        <color theme="1"/>
        <rFont val="Calibri"/>
        <family val="2"/>
        <scheme val="minor"/>
      </rPr>
      <t xml:space="preserve"> tanpa desimal.</t>
    </r>
  </si>
  <si>
    <r>
      <t>Instruksi:</t>
    </r>
    <r>
      <rPr>
        <sz val="11"/>
        <color theme="1"/>
        <rFont val="Calibri"/>
        <family val="2"/>
        <scheme val="minor"/>
      </rPr>
      <t xml:space="preserve"> Buatlah Pivot Table yang menampilkan </t>
    </r>
    <r>
      <rPr>
        <b/>
        <sz val="11"/>
        <color theme="1"/>
        <rFont val="Calibri"/>
        <family val="2"/>
        <scheme val="minor"/>
      </rPr>
      <t>Total Biaya</t>
    </r>
    <r>
      <rPr>
        <sz val="11"/>
        <color theme="1"/>
        <rFont val="Calibri"/>
        <family val="2"/>
        <scheme val="minor"/>
      </rPr>
      <t xml:space="preserve"> berdasarkan </t>
    </r>
    <r>
      <rPr>
        <b/>
        <sz val="11"/>
        <color theme="1"/>
        <rFont val="Calibri"/>
        <family val="2"/>
        <scheme val="minor"/>
      </rPr>
      <t>Rute</t>
    </r>
    <r>
      <rPr>
        <sz val="11"/>
        <color theme="1"/>
        <rFont val="Calibri"/>
        <family val="2"/>
        <scheme val="minor"/>
      </rPr>
      <t xml:space="preserve"> dan </t>
    </r>
    <r>
      <rPr>
        <b/>
        <sz val="11"/>
        <color theme="1"/>
        <rFont val="Calibri"/>
        <family val="2"/>
        <scheme val="minor"/>
      </rPr>
      <t>Nama Kelas</t>
    </r>
    <r>
      <rPr>
        <sz val="11"/>
        <color theme="1"/>
        <rFont val="Calibri"/>
        <family val="2"/>
        <scheme val="minor"/>
      </rPr>
      <t xml:space="preserve">.
ㅡ </t>
    </r>
    <r>
      <rPr>
        <i/>
        <sz val="11"/>
        <color theme="1"/>
        <rFont val="Calibri"/>
        <family val="2"/>
        <scheme val="minor"/>
      </rPr>
      <t>Pengaturan Field Pivot Table:</t>
    </r>
    <r>
      <rPr>
        <sz val="11"/>
        <color theme="1"/>
        <rFont val="Calibri"/>
        <family val="2"/>
        <scheme val="minor"/>
      </rPr>
      <t xml:space="preserve"> </t>
    </r>
    <r>
      <rPr>
        <b/>
        <sz val="11"/>
        <color theme="1"/>
        <rFont val="Calibri"/>
        <family val="2"/>
        <scheme val="minor"/>
      </rPr>
      <t>Rute</t>
    </r>
    <r>
      <rPr>
        <sz val="11"/>
        <color theme="1"/>
        <rFont val="Calibri"/>
        <family val="2"/>
        <scheme val="minor"/>
      </rPr>
      <t xml:space="preserve"> (Row),</t>
    </r>
    <r>
      <rPr>
        <b/>
        <sz val="11"/>
        <color theme="1"/>
        <rFont val="Calibri"/>
        <family val="2"/>
        <scheme val="minor"/>
      </rPr>
      <t xml:space="preserve"> Nama Kelas </t>
    </r>
    <r>
      <rPr>
        <sz val="11"/>
        <color theme="1"/>
        <rFont val="Calibri"/>
        <family val="2"/>
        <scheme val="minor"/>
      </rPr>
      <t xml:space="preserve">(Columns), </t>
    </r>
    <r>
      <rPr>
        <b/>
        <sz val="11"/>
        <color theme="1"/>
        <rFont val="Calibri"/>
        <family val="2"/>
        <scheme val="minor"/>
      </rPr>
      <t>Sum of Total Biaya</t>
    </r>
    <r>
      <rPr>
        <sz val="11"/>
        <color theme="1"/>
        <rFont val="Calibri"/>
        <family val="2"/>
        <scheme val="minor"/>
      </rPr>
      <t xml:space="preserve"> (Values).</t>
    </r>
  </si>
  <si>
    <t>Laporan Volume Penumpang dan Status Bagasi</t>
  </si>
  <si>
    <r>
      <t>Soal ini menguji kemampuan peserta dalam melakukan penghitungan jumlah data (</t>
    </r>
    <r>
      <rPr>
        <i/>
        <sz val="11"/>
        <color theme="1"/>
        <rFont val="Calibri"/>
        <family val="2"/>
        <scheme val="minor"/>
      </rPr>
      <t>Counting</t>
    </r>
    <r>
      <rPr>
        <sz val="11"/>
        <color theme="1"/>
        <rFont val="Calibri"/>
        <family val="2"/>
        <scheme val="minor"/>
      </rPr>
      <t>) dan memilah kategori layanan.</t>
    </r>
  </si>
  <si>
    <r>
      <t xml:space="preserve">Petunjuk Umum </t>
    </r>
    <r>
      <rPr>
        <i/>
        <sz val="11"/>
        <color theme="1"/>
        <rFont val="Calibri"/>
        <family val="2"/>
        <scheme val="minor"/>
      </rPr>
      <t>(Pembuatan Pivot Table + Chart)</t>
    </r>
    <r>
      <rPr>
        <sz val="11"/>
        <color theme="1"/>
        <rFont val="Calibri"/>
        <family val="2"/>
        <scheme val="minor"/>
      </rPr>
      <t>:</t>
    </r>
  </si>
  <si>
    <r>
      <t>Instruksi:</t>
    </r>
    <r>
      <rPr>
        <sz val="11"/>
        <color theme="1"/>
        <rFont val="Calibri"/>
        <family val="2"/>
        <scheme val="minor"/>
      </rPr>
      <t xml:space="preserve"> Buatlah Pivot Table yang menampilkan</t>
    </r>
    <r>
      <rPr>
        <b/>
        <sz val="11"/>
        <color theme="1"/>
        <rFont val="Calibri"/>
        <family val="2"/>
        <scheme val="minor"/>
      </rPr>
      <t xml:space="preserve"> Jumlah Penumpang</t>
    </r>
    <r>
      <rPr>
        <sz val="11"/>
        <color theme="1"/>
        <rFont val="Calibri"/>
        <family val="2"/>
        <scheme val="minor"/>
      </rPr>
      <t xml:space="preserve"> berdasarkan </t>
    </r>
    <r>
      <rPr>
        <b/>
        <sz val="11"/>
        <color theme="1"/>
        <rFont val="Calibri"/>
        <family val="2"/>
        <scheme val="minor"/>
      </rPr>
      <t>Rute</t>
    </r>
    <r>
      <rPr>
        <sz val="11"/>
        <color theme="1"/>
        <rFont val="Calibri"/>
        <family val="2"/>
        <scheme val="minor"/>
      </rPr>
      <t xml:space="preserve"> dan </t>
    </r>
    <r>
      <rPr>
        <b/>
        <sz val="11"/>
        <color theme="1"/>
        <rFont val="Calibri"/>
        <family val="2"/>
        <scheme val="minor"/>
      </rPr>
      <t>Status Bagasi</t>
    </r>
    <r>
      <rPr>
        <sz val="11"/>
        <color theme="1"/>
        <rFont val="Calibri"/>
        <family val="2"/>
        <scheme val="minor"/>
      </rPr>
      <t xml:space="preserve">.
ㅡ </t>
    </r>
    <r>
      <rPr>
        <i/>
        <sz val="11"/>
        <color theme="1"/>
        <rFont val="Calibri"/>
        <family val="2"/>
        <scheme val="minor"/>
      </rPr>
      <t>Pengaturan Field Pivot Table:</t>
    </r>
    <r>
      <rPr>
        <sz val="11"/>
        <color theme="1"/>
        <rFont val="Calibri"/>
        <family val="2"/>
        <scheme val="minor"/>
      </rPr>
      <t xml:space="preserve"> </t>
    </r>
    <r>
      <rPr>
        <b/>
        <sz val="11"/>
        <color theme="1"/>
        <rFont val="Calibri"/>
        <family val="2"/>
        <scheme val="minor"/>
      </rPr>
      <t>Rute</t>
    </r>
    <r>
      <rPr>
        <sz val="11"/>
        <color theme="1"/>
        <rFont val="Calibri"/>
        <family val="2"/>
        <scheme val="minor"/>
      </rPr>
      <t xml:space="preserve"> (Row), </t>
    </r>
    <r>
      <rPr>
        <b/>
        <sz val="11"/>
        <color theme="1"/>
        <rFont val="Calibri"/>
        <family val="2"/>
        <scheme val="minor"/>
      </rPr>
      <t>Status Bagasi</t>
    </r>
    <r>
      <rPr>
        <sz val="11"/>
        <color theme="1"/>
        <rFont val="Calibri"/>
        <family val="2"/>
        <scheme val="minor"/>
      </rPr>
      <t xml:space="preserve"> (Columns), </t>
    </r>
    <r>
      <rPr>
        <b/>
        <sz val="11"/>
        <color theme="1"/>
        <rFont val="Calibri"/>
        <family val="2"/>
        <scheme val="minor"/>
      </rPr>
      <t>Count of Nama Penumpang</t>
    </r>
    <r>
      <rPr>
        <sz val="11"/>
        <color theme="1"/>
        <rFont val="Calibri"/>
        <family val="2"/>
        <scheme val="minor"/>
      </rPr>
      <t xml:space="preserve"> (Values).</t>
    </r>
  </si>
  <si>
    <r>
      <t>Penting:</t>
    </r>
    <r>
      <rPr>
        <sz val="11"/>
        <color theme="1"/>
        <rFont val="Calibri"/>
        <family val="2"/>
        <scheme val="minor"/>
      </rPr>
      <t xml:space="preserve"> Pastikan pada bagian </t>
    </r>
    <r>
      <rPr>
        <i/>
        <sz val="11"/>
        <color theme="1"/>
        <rFont val="Calibri"/>
        <family val="2"/>
        <scheme val="minor"/>
      </rPr>
      <t>Value Field Settings</t>
    </r>
    <r>
      <rPr>
        <sz val="11"/>
        <color theme="1"/>
        <rFont val="Calibri"/>
        <family val="2"/>
        <scheme val="minor"/>
      </rPr>
      <t xml:space="preserve"> dipilih </t>
    </r>
    <r>
      <rPr>
        <b/>
        <sz val="11"/>
        <color theme="1"/>
        <rFont val="Calibri"/>
        <family val="2"/>
        <scheme val="minor"/>
      </rPr>
      <t>Count</t>
    </r>
    <r>
      <rPr>
        <sz val="11"/>
        <color theme="1"/>
        <rFont val="Calibri"/>
        <family val="2"/>
        <scheme val="minor"/>
      </rPr>
      <t>, bukan Sum.</t>
    </r>
  </si>
  <si>
    <r>
      <t>Pivot Chart:</t>
    </r>
    <r>
      <rPr>
        <sz val="11"/>
        <color theme="1"/>
        <rFont val="Calibri"/>
        <family val="2"/>
        <scheme val="minor"/>
      </rPr>
      <t xml:space="preserve"> Gunakan grafik </t>
    </r>
    <r>
      <rPr>
        <b/>
        <sz val="11"/>
        <color theme="1"/>
        <rFont val="Calibri"/>
        <family val="2"/>
        <scheme val="minor"/>
      </rPr>
      <t>Stacked Column Chart</t>
    </r>
    <r>
      <rPr>
        <sz val="11"/>
        <color theme="1"/>
        <rFont val="Calibri"/>
        <family val="2"/>
        <scheme val="minor"/>
      </rPr>
      <t xml:space="preserve"> (Grafik Batang Bertumpuk). Ketentuan Chart, sebagai berikut:
- Judul Chart: </t>
    </r>
    <r>
      <rPr>
        <b/>
        <sz val="11"/>
        <color theme="1"/>
        <rFont val="Calibri"/>
        <family val="2"/>
        <scheme val="minor"/>
      </rPr>
      <t xml:space="preserve">Analisis Total Pendapatan per Rute dan Kelas Penerbangan
- </t>
    </r>
    <r>
      <rPr>
        <sz val="11"/>
        <color theme="1"/>
        <rFont val="Calibri"/>
        <family val="2"/>
        <scheme val="minor"/>
      </rPr>
      <t xml:space="preserve">Munculkan </t>
    </r>
    <r>
      <rPr>
        <b/>
        <sz val="11"/>
        <color theme="1"/>
        <rFont val="Calibri"/>
        <family val="2"/>
        <scheme val="minor"/>
      </rPr>
      <t>Label Data (Data Labels)</t>
    </r>
    <r>
      <rPr>
        <sz val="11"/>
        <color theme="1"/>
        <rFont val="Calibri"/>
        <family val="2"/>
        <scheme val="minor"/>
      </rPr>
      <t xml:space="preserve"> dan</t>
    </r>
    <r>
      <rPr>
        <b/>
        <sz val="11"/>
        <color theme="1"/>
        <rFont val="Calibri"/>
        <family val="2"/>
        <scheme val="minor"/>
      </rPr>
      <t xml:space="preserve"> Legend (Keterangan Warna) </t>
    </r>
    <r>
      <rPr>
        <sz val="11"/>
        <color theme="1"/>
        <rFont val="Calibri"/>
        <family val="2"/>
        <scheme val="minor"/>
      </rPr>
      <t xml:space="preserve">menampilkan </t>
    </r>
    <r>
      <rPr>
        <b/>
        <sz val="11"/>
        <color theme="1"/>
        <rFont val="Calibri"/>
        <family val="2"/>
        <scheme val="minor"/>
      </rPr>
      <t>Nama Kelas (Business, Economy, First Class)</t>
    </r>
    <r>
      <rPr>
        <sz val="11"/>
        <color theme="1"/>
        <rFont val="Calibri"/>
        <family val="2"/>
        <scheme val="minor"/>
      </rPr>
      <t xml:space="preserve"> tetap dimunculkan agar tahu mewakili kelas apa.
- Nama Sumbu Horisontal (X-Axis): </t>
    </r>
    <r>
      <rPr>
        <b/>
        <sz val="11"/>
        <color theme="1"/>
        <rFont val="Calibri"/>
        <family val="2"/>
        <scheme val="minor"/>
      </rPr>
      <t>Rute
-</t>
    </r>
    <r>
      <rPr>
        <sz val="11"/>
        <color theme="1"/>
        <rFont val="Calibri"/>
        <family val="2"/>
        <scheme val="minor"/>
      </rPr>
      <t xml:space="preserve"> Nama Sumbu Vertikal (Y-Axis): </t>
    </r>
    <r>
      <rPr>
        <b/>
        <sz val="11"/>
        <color theme="1"/>
        <rFont val="Calibri"/>
        <family val="2"/>
        <scheme val="minor"/>
      </rPr>
      <t>Nilai Rupiah (Total Biaya)</t>
    </r>
  </si>
  <si>
    <r>
      <t>Pivot Chart:</t>
    </r>
    <r>
      <rPr>
        <sz val="11"/>
        <color theme="1"/>
        <rFont val="Calibri"/>
        <family val="2"/>
        <scheme val="minor"/>
      </rPr>
      <t xml:space="preserve"> Gunakan grafik </t>
    </r>
    <r>
      <rPr>
        <b/>
        <sz val="11"/>
        <color theme="1"/>
        <rFont val="Calibri"/>
        <family val="2"/>
        <scheme val="minor"/>
      </rPr>
      <t>Clustered Bar Chart</t>
    </r>
    <r>
      <rPr>
        <sz val="11"/>
        <color theme="1"/>
        <rFont val="Calibri"/>
        <family val="2"/>
        <scheme val="minor"/>
      </rPr>
      <t xml:space="preserve"> (Grafik Batang Horisontal). Ketentuan Chart, sebagai berikut:
- Judul Chart: </t>
    </r>
    <r>
      <rPr>
        <b/>
        <sz val="11"/>
        <color theme="1"/>
        <rFont val="Calibri"/>
        <family val="2"/>
        <scheme val="minor"/>
      </rPr>
      <t xml:space="preserve">Distribusi Status Bagasi Penumpang per Rute
- </t>
    </r>
    <r>
      <rPr>
        <sz val="11"/>
        <color theme="1"/>
        <rFont val="Calibri"/>
        <family val="2"/>
        <scheme val="minor"/>
      </rPr>
      <t xml:space="preserve">Munculkan </t>
    </r>
    <r>
      <rPr>
        <b/>
        <sz val="11"/>
        <color theme="1"/>
        <rFont val="Calibri"/>
        <family val="2"/>
        <scheme val="minor"/>
      </rPr>
      <t>Label Data (Data Labels)</t>
    </r>
    <r>
      <rPr>
        <sz val="11"/>
        <color theme="1"/>
        <rFont val="Calibri"/>
        <family val="2"/>
        <scheme val="minor"/>
      </rPr>
      <t xml:space="preserve"> dan </t>
    </r>
    <r>
      <rPr>
        <b/>
        <sz val="11"/>
        <color theme="1"/>
        <rFont val="Calibri"/>
        <family val="2"/>
        <scheme val="minor"/>
      </rPr>
      <t>Legend (Keteragan Warna)</t>
    </r>
    <r>
      <rPr>
        <sz val="11"/>
        <color theme="1"/>
        <rFont val="Calibri"/>
        <family val="2"/>
        <scheme val="minor"/>
      </rPr>
      <t xml:space="preserve"> menampilkan kategori</t>
    </r>
    <r>
      <rPr>
        <b/>
        <sz val="11"/>
        <color theme="1"/>
        <rFont val="Calibri"/>
        <family val="2"/>
        <scheme val="minor"/>
      </rPr>
      <t xml:space="preserve"> Status Bayar (Berbayar dan Gratis)</t>
    </r>
    <r>
      <rPr>
        <sz val="11"/>
        <color theme="1"/>
        <rFont val="Calibri"/>
        <family val="2"/>
        <scheme val="minor"/>
      </rPr>
      <t xml:space="preserve"> tetap dimunculkan.
- Nama Sumbu Horisontal (X-Axis): </t>
    </r>
    <r>
      <rPr>
        <b/>
        <sz val="11"/>
        <color theme="1"/>
        <rFont val="Calibri"/>
        <family val="2"/>
        <scheme val="minor"/>
      </rPr>
      <t>Rute</t>
    </r>
    <r>
      <rPr>
        <sz val="11"/>
        <color theme="1"/>
        <rFont val="Calibri"/>
        <family val="2"/>
        <scheme val="minor"/>
      </rPr>
      <t xml:space="preserve">
- Nama Sumbu Vertikal (Y-Axis):</t>
    </r>
    <r>
      <rPr>
        <b/>
        <sz val="11"/>
        <color theme="1"/>
        <rFont val="Calibri"/>
        <family val="2"/>
        <scheme val="minor"/>
      </rPr>
      <t xml:space="preserve"> Jumlah (Count)</t>
    </r>
  </si>
  <si>
    <t>Analisis Efisiensi Jarak dan Durasi Terbang</t>
  </si>
  <si>
    <r>
      <t xml:space="preserve">Soal ini berfokus pada </t>
    </r>
    <r>
      <rPr>
        <b/>
        <sz val="11"/>
        <color theme="1"/>
        <rFont val="Calibri"/>
        <family val="2"/>
        <scheme val="minor"/>
      </rPr>
      <t>data operasional penerbangan</t>
    </r>
    <r>
      <rPr>
        <sz val="11"/>
        <color theme="1"/>
        <rFont val="Calibri"/>
        <family val="2"/>
        <scheme val="minor"/>
      </rPr>
      <t>.</t>
    </r>
  </si>
  <si>
    <r>
      <t>Instruksi:</t>
    </r>
    <r>
      <rPr>
        <sz val="11"/>
        <color theme="1"/>
        <rFont val="Calibri"/>
        <family val="2"/>
        <scheme val="minor"/>
      </rPr>
      <t xml:space="preserve"> Buatlah Pivot Table yang menampilkan</t>
    </r>
    <r>
      <rPr>
        <b/>
        <sz val="11"/>
        <color theme="1"/>
        <rFont val="Calibri"/>
        <family val="2"/>
        <scheme val="minor"/>
      </rPr>
      <t xml:space="preserve"> Rata-rata Durasi</t>
    </r>
    <r>
      <rPr>
        <sz val="11"/>
        <color theme="1"/>
        <rFont val="Calibri"/>
        <family val="2"/>
        <scheme val="minor"/>
      </rPr>
      <t xml:space="preserve"> terbang untuk setiap kategori </t>
    </r>
    <r>
      <rPr>
        <b/>
        <sz val="11"/>
        <color theme="1"/>
        <rFont val="Calibri"/>
        <family val="2"/>
        <scheme val="minor"/>
      </rPr>
      <t>Status Jarak</t>
    </r>
    <r>
      <rPr>
        <sz val="11"/>
        <color theme="1"/>
        <rFont val="Calibri"/>
        <family val="2"/>
        <scheme val="minor"/>
      </rPr>
      <t xml:space="preserve">.
ㅡ </t>
    </r>
    <r>
      <rPr>
        <i/>
        <sz val="11"/>
        <color theme="1"/>
        <rFont val="Calibri"/>
        <family val="2"/>
        <scheme val="minor"/>
      </rPr>
      <t>Pengaturan Field Pivot Table:</t>
    </r>
    <r>
      <rPr>
        <sz val="11"/>
        <color theme="1"/>
        <rFont val="Calibri"/>
        <family val="2"/>
        <scheme val="minor"/>
      </rPr>
      <t xml:space="preserve"> </t>
    </r>
    <r>
      <rPr>
        <b/>
        <sz val="11"/>
        <color theme="1"/>
        <rFont val="Calibri"/>
        <family val="2"/>
        <scheme val="minor"/>
      </rPr>
      <t>Status Jarak</t>
    </r>
    <r>
      <rPr>
        <sz val="11"/>
        <color theme="1"/>
        <rFont val="Calibri"/>
        <family val="2"/>
        <scheme val="minor"/>
      </rPr>
      <t xml:space="preserve"> (Row), </t>
    </r>
    <r>
      <rPr>
        <b/>
        <sz val="11"/>
        <color theme="1"/>
        <rFont val="Calibri"/>
        <family val="2"/>
        <scheme val="minor"/>
      </rPr>
      <t>Avarage of Durasi</t>
    </r>
    <r>
      <rPr>
        <sz val="11"/>
        <color theme="1"/>
        <rFont val="Calibri"/>
        <family val="2"/>
        <scheme val="minor"/>
      </rPr>
      <t xml:space="preserve"> (Values).</t>
    </r>
  </si>
  <si>
    <r>
      <t>Penting:</t>
    </r>
    <r>
      <rPr>
        <sz val="11"/>
        <color theme="1"/>
        <rFont val="Calibri"/>
        <family val="2"/>
        <scheme val="minor"/>
      </rPr>
      <t xml:space="preserve"> Ubah pengaturan </t>
    </r>
    <r>
      <rPr>
        <i/>
        <sz val="11"/>
        <color theme="1"/>
        <rFont val="Calibri"/>
        <family val="2"/>
        <scheme val="minor"/>
      </rPr>
      <t>Value Field Settings</t>
    </r>
    <r>
      <rPr>
        <sz val="11"/>
        <color theme="1"/>
        <rFont val="Calibri"/>
        <family val="2"/>
        <scheme val="minor"/>
      </rPr>
      <t xml:space="preserve"> menjadi </t>
    </r>
    <r>
      <rPr>
        <b/>
        <sz val="11"/>
        <color theme="1"/>
        <rFont val="Calibri"/>
        <family val="2"/>
        <scheme val="minor"/>
      </rPr>
      <t>Average</t>
    </r>
    <r>
      <rPr>
        <sz val="11"/>
        <color theme="1"/>
        <rFont val="Calibri"/>
        <family val="2"/>
        <scheme val="minor"/>
      </rPr>
      <t xml:space="preserve"> (Rata-rata) dan pastikan format sel tetap </t>
    </r>
    <r>
      <rPr>
        <b/>
        <sz val="11"/>
        <color theme="1"/>
        <rFont val="Calibri"/>
        <family val="2"/>
        <scheme val="minor"/>
      </rPr>
      <t>Time (hh:mm)</t>
    </r>
    <r>
      <rPr>
        <sz val="11"/>
        <color theme="1"/>
        <rFont val="Calibri"/>
        <family val="2"/>
        <scheme val="minor"/>
      </rPr>
      <t xml:space="preserve">. Cara mengubah menjadi format Time, sebagai berikut:
</t>
    </r>
    <r>
      <rPr>
        <i/>
        <sz val="11"/>
        <color theme="1"/>
        <rFont val="Calibri"/>
        <family val="2"/>
        <scheme val="minor"/>
      </rPr>
      <t>Cara Pertama:</t>
    </r>
    <r>
      <rPr>
        <sz val="11"/>
        <color theme="1"/>
        <rFont val="Calibri"/>
        <family val="2"/>
        <scheme val="minor"/>
      </rPr>
      <t xml:space="preserve">
- Di salah satu rata-rata durasi </t>
    </r>
    <r>
      <rPr>
        <b/>
        <sz val="11"/>
        <color theme="1"/>
        <rFont val="Calibri"/>
        <family val="2"/>
        <scheme val="minor"/>
      </rPr>
      <t>klik kanan</t>
    </r>
    <r>
      <rPr>
        <sz val="11"/>
        <color theme="1"/>
        <rFont val="Calibri"/>
        <family val="2"/>
        <scheme val="minor"/>
      </rPr>
      <t>, kemudian pilih</t>
    </r>
    <r>
      <rPr>
        <b/>
        <sz val="11"/>
        <color theme="1"/>
        <rFont val="Calibri"/>
        <family val="2"/>
        <scheme val="minor"/>
      </rPr>
      <t xml:space="preserve"> Value Field Settings...
- </t>
    </r>
    <r>
      <rPr>
        <sz val="11"/>
        <color theme="1"/>
        <rFont val="Calibri"/>
        <family val="2"/>
        <scheme val="minor"/>
      </rPr>
      <t xml:space="preserve">Klik tombol </t>
    </r>
    <r>
      <rPr>
        <b/>
        <sz val="11"/>
        <color theme="1"/>
        <rFont val="Calibri"/>
        <family val="2"/>
        <scheme val="minor"/>
      </rPr>
      <t>Number Format</t>
    </r>
    <r>
      <rPr>
        <sz val="11"/>
        <color theme="1"/>
        <rFont val="Calibri"/>
        <family val="2"/>
        <scheme val="minor"/>
      </rPr>
      <t xml:space="preserve"> yang terletak di pojok kiri bawah jendela </t>
    </r>
    <r>
      <rPr>
        <i/>
        <sz val="11"/>
        <color theme="1"/>
        <rFont val="Calibri"/>
        <family val="2"/>
        <scheme val="minor"/>
      </rPr>
      <t>Value Field Settings</t>
    </r>
    <r>
      <rPr>
        <sz val="11"/>
        <color theme="1"/>
        <rFont val="Calibri"/>
        <family val="2"/>
        <scheme val="minor"/>
      </rPr>
      <t xml:space="preserve">.
- Pada jendela </t>
    </r>
    <r>
      <rPr>
        <i/>
        <sz val="11"/>
        <color theme="1"/>
        <rFont val="Calibri"/>
        <family val="2"/>
        <scheme val="minor"/>
      </rPr>
      <t>Format Cells,</t>
    </r>
    <r>
      <rPr>
        <sz val="11"/>
        <color theme="1"/>
        <rFont val="Calibri"/>
        <family val="2"/>
        <scheme val="minor"/>
      </rPr>
      <t xml:space="preserve"> pilih kategori </t>
    </r>
    <r>
      <rPr>
        <b/>
        <sz val="11"/>
        <color theme="1"/>
        <rFont val="Calibri"/>
        <family val="2"/>
        <scheme val="minor"/>
      </rPr>
      <t>Time</t>
    </r>
    <r>
      <rPr>
        <sz val="11"/>
        <color theme="1"/>
        <rFont val="Calibri"/>
        <family val="2"/>
        <scheme val="minor"/>
      </rPr>
      <t xml:space="preserve"> di kolom sebelah kiri.
- Pilih tipe format jam yang diinginkan, disarankan menggunakan format </t>
    </r>
    <r>
      <rPr>
        <b/>
        <sz val="11"/>
        <color theme="1"/>
        <rFont val="Calibri"/>
        <family val="2"/>
        <scheme val="minor"/>
      </rPr>
      <t>13:30</t>
    </r>
    <r>
      <rPr>
        <sz val="11"/>
        <color theme="1"/>
        <rFont val="Calibri"/>
        <family val="2"/>
        <scheme val="minor"/>
      </rPr>
      <t xml:space="preserve"> atau</t>
    </r>
    <r>
      <rPr>
        <b/>
        <sz val="11"/>
        <color theme="1"/>
        <rFont val="Calibri"/>
        <family val="2"/>
        <scheme val="minor"/>
      </rPr>
      <t xml:space="preserve"> hh:mm </t>
    </r>
    <r>
      <rPr>
        <sz val="11"/>
        <color theme="1"/>
        <rFont val="Calibri"/>
        <family val="2"/>
        <scheme val="minor"/>
      </rPr>
      <t>agar tampilan jam dan menit terlihat jelas. Jika pilihan format jam tidak tersedia, bisa pilih kategori</t>
    </r>
    <r>
      <rPr>
        <b/>
        <sz val="11"/>
        <color theme="1"/>
        <rFont val="Calibri"/>
        <family val="2"/>
        <scheme val="minor"/>
      </rPr>
      <t xml:space="preserve"> Custom</t>
    </r>
    <r>
      <rPr>
        <sz val="11"/>
        <color theme="1"/>
        <rFont val="Calibri"/>
        <family val="2"/>
        <scheme val="minor"/>
      </rPr>
      <t xml:space="preserve"> dan masukan format</t>
    </r>
    <r>
      <rPr>
        <b/>
        <sz val="11"/>
        <color theme="1"/>
        <rFont val="Calibri"/>
        <family val="2"/>
        <scheme val="minor"/>
      </rPr>
      <t xml:space="preserve"> hh:mm</t>
    </r>
    <r>
      <rPr>
        <sz val="11"/>
        <color theme="1"/>
        <rFont val="Calibri"/>
        <family val="2"/>
        <scheme val="minor"/>
      </rPr>
      <t xml:space="preserve">.
- Klik </t>
    </r>
    <r>
      <rPr>
        <b/>
        <sz val="11"/>
        <color theme="1"/>
        <rFont val="Calibri"/>
        <family val="2"/>
        <scheme val="minor"/>
      </rPr>
      <t>OK</t>
    </r>
    <r>
      <rPr>
        <sz val="11"/>
        <color theme="1"/>
        <rFont val="Calibri"/>
        <family val="2"/>
        <scheme val="minor"/>
      </rPr>
      <t xml:space="preserve"> pada jendela</t>
    </r>
    <r>
      <rPr>
        <i/>
        <sz val="11"/>
        <color theme="1"/>
        <rFont val="Calibri"/>
        <family val="2"/>
        <scheme val="minor"/>
      </rPr>
      <t xml:space="preserve"> Format Cells</t>
    </r>
    <r>
      <rPr>
        <sz val="11"/>
        <color theme="1"/>
        <rFont val="Calibri"/>
        <family val="2"/>
        <scheme val="minor"/>
      </rPr>
      <t xml:space="preserve">, lalu klik </t>
    </r>
    <r>
      <rPr>
        <b/>
        <sz val="11"/>
        <color theme="1"/>
        <rFont val="Calibri"/>
        <family val="2"/>
        <scheme val="minor"/>
      </rPr>
      <t>OK</t>
    </r>
    <r>
      <rPr>
        <sz val="11"/>
        <color theme="1"/>
        <rFont val="Calibri"/>
        <family val="2"/>
        <scheme val="minor"/>
      </rPr>
      <t xml:space="preserve"> sekali lagi pada jendela </t>
    </r>
    <r>
      <rPr>
        <i/>
        <sz val="11"/>
        <color theme="1"/>
        <rFont val="Calibri"/>
        <family val="2"/>
        <scheme val="minor"/>
      </rPr>
      <t>Value Field Settings</t>
    </r>
    <r>
      <rPr>
        <sz val="11"/>
        <color theme="1"/>
        <rFont val="Calibri"/>
        <family val="2"/>
        <scheme val="minor"/>
      </rPr>
      <t xml:space="preserve">. Contoh hasilnya akan menjadi 01:30.
</t>
    </r>
    <r>
      <rPr>
        <i/>
        <sz val="11"/>
        <color theme="1"/>
        <rFont val="Calibri"/>
        <family val="2"/>
        <scheme val="minor"/>
      </rPr>
      <t>Cara Kedua:</t>
    </r>
    <r>
      <rPr>
        <sz val="11"/>
        <color theme="1"/>
        <rFont val="Calibri"/>
        <family val="2"/>
        <scheme val="minor"/>
      </rPr>
      <t xml:space="preserve">
- </t>
    </r>
    <r>
      <rPr>
        <b/>
        <sz val="11"/>
        <color theme="1"/>
        <rFont val="Calibri"/>
        <family val="2"/>
        <scheme val="minor"/>
      </rPr>
      <t>Blok kolom</t>
    </r>
    <r>
      <rPr>
        <sz val="11"/>
        <color theme="1"/>
        <rFont val="Calibri"/>
        <family val="2"/>
        <scheme val="minor"/>
      </rPr>
      <t xml:space="preserve"> hasil avarage rata-rata, kemudian klik </t>
    </r>
    <r>
      <rPr>
        <b/>
        <sz val="11"/>
        <color theme="1"/>
        <rFont val="Calibri"/>
        <family val="2"/>
        <scheme val="minor"/>
      </rPr>
      <t>Ctrl + 1</t>
    </r>
    <r>
      <rPr>
        <sz val="11"/>
        <color theme="1"/>
        <rFont val="Calibri"/>
        <family val="2"/>
        <scheme val="minor"/>
      </rPr>
      <t>.
- Pada jendela</t>
    </r>
    <r>
      <rPr>
        <i/>
        <sz val="11"/>
        <color theme="1"/>
        <rFont val="Calibri"/>
        <family val="2"/>
        <scheme val="minor"/>
      </rPr>
      <t xml:space="preserve"> Format Cells</t>
    </r>
    <r>
      <rPr>
        <sz val="11"/>
        <color theme="1"/>
        <rFont val="Calibri"/>
        <family val="2"/>
        <scheme val="minor"/>
      </rPr>
      <t xml:space="preserve">, pilih kategori </t>
    </r>
    <r>
      <rPr>
        <b/>
        <sz val="11"/>
        <color theme="1"/>
        <rFont val="Calibri"/>
        <family val="2"/>
        <scheme val="minor"/>
      </rPr>
      <t>Time</t>
    </r>
    <r>
      <rPr>
        <sz val="11"/>
        <color theme="1"/>
        <rFont val="Calibri"/>
        <family val="2"/>
        <scheme val="minor"/>
      </rPr>
      <t xml:space="preserve"> di kolom sebelah kiri.
- Pilih tipe format jam yang diinginkan, disarankan menggunakan format </t>
    </r>
    <r>
      <rPr>
        <b/>
        <sz val="11"/>
        <color theme="1"/>
        <rFont val="Calibri"/>
        <family val="2"/>
        <scheme val="minor"/>
      </rPr>
      <t>13:30</t>
    </r>
    <r>
      <rPr>
        <sz val="11"/>
        <color theme="1"/>
        <rFont val="Calibri"/>
        <family val="2"/>
        <scheme val="minor"/>
      </rPr>
      <t xml:space="preserve"> atau </t>
    </r>
    <r>
      <rPr>
        <b/>
        <sz val="11"/>
        <color theme="1"/>
        <rFont val="Calibri"/>
        <family val="2"/>
        <scheme val="minor"/>
      </rPr>
      <t>hh:mm</t>
    </r>
    <r>
      <rPr>
        <sz val="11"/>
        <color theme="1"/>
        <rFont val="Calibri"/>
        <family val="2"/>
        <scheme val="minor"/>
      </rPr>
      <t xml:space="preserve"> agar tampilan jam dan menit terlihat jelas. Jika pilihan format jam tidak tersedia, bisa pilih kategori </t>
    </r>
    <r>
      <rPr>
        <b/>
        <sz val="11"/>
        <color theme="1"/>
        <rFont val="Calibri"/>
        <family val="2"/>
        <scheme val="minor"/>
      </rPr>
      <t>Custom</t>
    </r>
    <r>
      <rPr>
        <sz val="11"/>
        <color theme="1"/>
        <rFont val="Calibri"/>
        <family val="2"/>
        <scheme val="minor"/>
      </rPr>
      <t xml:space="preserve"> dan masukan format</t>
    </r>
    <r>
      <rPr>
        <b/>
        <sz val="11"/>
        <color theme="1"/>
        <rFont val="Calibri"/>
        <family val="2"/>
        <scheme val="minor"/>
      </rPr>
      <t xml:space="preserve"> hh:mm</t>
    </r>
    <r>
      <rPr>
        <sz val="11"/>
        <color theme="1"/>
        <rFont val="Calibri"/>
        <family val="2"/>
        <scheme val="minor"/>
      </rPr>
      <t xml:space="preserve">.
- Klik </t>
    </r>
    <r>
      <rPr>
        <b/>
        <sz val="11"/>
        <color theme="1"/>
        <rFont val="Calibri"/>
        <family val="2"/>
        <scheme val="minor"/>
      </rPr>
      <t>OK</t>
    </r>
    <r>
      <rPr>
        <sz val="11"/>
        <color theme="1"/>
        <rFont val="Calibri"/>
        <family val="2"/>
        <scheme val="minor"/>
      </rPr>
      <t>. Contoh hasilnya akan menjadi 01:30.</t>
    </r>
  </si>
  <si>
    <r>
      <rPr>
        <b/>
        <sz val="11"/>
        <color theme="1"/>
        <rFont val="Calibri"/>
        <family val="2"/>
        <scheme val="minor"/>
      </rPr>
      <t>Pivot Chart:</t>
    </r>
    <r>
      <rPr>
        <sz val="11"/>
        <color theme="1"/>
        <rFont val="Calibri"/>
        <family val="2"/>
        <scheme val="minor"/>
      </rPr>
      <t xml:space="preserve"> Gunakan </t>
    </r>
    <r>
      <rPr>
        <b/>
        <sz val="11"/>
        <color theme="1"/>
        <rFont val="Calibri"/>
        <family val="2"/>
        <scheme val="minor"/>
      </rPr>
      <t>Pie Chart</t>
    </r>
    <r>
      <rPr>
        <sz val="11"/>
        <color theme="1"/>
        <rFont val="Calibri"/>
        <family val="2"/>
        <scheme val="minor"/>
      </rPr>
      <t>. Ketentuan Chart, sebagai berikut:
- Judul Chart:</t>
    </r>
    <r>
      <rPr>
        <b/>
        <sz val="11"/>
        <color theme="1"/>
        <rFont val="Calibri"/>
        <family val="2"/>
        <scheme val="minor"/>
      </rPr>
      <t xml:space="preserve"> Perbandingan Rata-rata Durasi Terbang
-</t>
    </r>
    <r>
      <rPr>
        <sz val="11"/>
        <color theme="1"/>
        <rFont val="Calibri"/>
        <family val="2"/>
        <scheme val="minor"/>
      </rPr>
      <t xml:space="preserve"> Munculkan</t>
    </r>
    <r>
      <rPr>
        <b/>
        <sz val="11"/>
        <color theme="1"/>
        <rFont val="Calibri"/>
        <family val="2"/>
        <scheme val="minor"/>
      </rPr>
      <t xml:space="preserve"> Label Data (Data Labels) Value &amp; Percentase </t>
    </r>
    <r>
      <rPr>
        <sz val="11"/>
        <color theme="1"/>
        <rFont val="Calibri"/>
        <family val="2"/>
        <scheme val="minor"/>
      </rPr>
      <t>dan</t>
    </r>
    <r>
      <rPr>
        <b/>
        <sz val="11"/>
        <color theme="1"/>
        <rFont val="Calibri"/>
        <family val="2"/>
        <scheme val="minor"/>
      </rPr>
      <t xml:space="preserve"> Legend (Keteragan Warna) </t>
    </r>
    <r>
      <rPr>
        <sz val="11"/>
        <color theme="1"/>
        <rFont val="Calibri"/>
        <family val="2"/>
        <scheme val="minor"/>
      </rPr>
      <t xml:space="preserve">menampilkan keterangan </t>
    </r>
    <r>
      <rPr>
        <b/>
        <sz val="11"/>
        <color theme="1"/>
        <rFont val="Calibri"/>
        <family val="2"/>
        <scheme val="minor"/>
      </rPr>
      <t xml:space="preserve">Jarak Dekat </t>
    </r>
    <r>
      <rPr>
        <sz val="11"/>
        <color theme="1"/>
        <rFont val="Calibri"/>
        <family val="2"/>
        <scheme val="minor"/>
      </rPr>
      <t xml:space="preserve">dan </t>
    </r>
    <r>
      <rPr>
        <b/>
        <sz val="11"/>
        <color theme="1"/>
        <rFont val="Calibri"/>
        <family val="2"/>
        <scheme val="minor"/>
      </rPr>
      <t>Jarak Jauh</t>
    </r>
    <r>
      <rPr>
        <sz val="11"/>
        <color theme="1"/>
        <rFont val="Calibri"/>
        <family val="2"/>
        <scheme val="minor"/>
      </rPr>
      <t>.</t>
    </r>
    <r>
      <rPr>
        <i/>
        <sz val="11"/>
        <color theme="1"/>
        <rFont val="Calibri"/>
        <family val="2"/>
        <scheme val="minor"/>
      </rPr>
      <t xml:space="preserve"> (Pastikan format labelnya adalah Time (hh:mm), contohnya: 01:30 dan 02:15. Jangan biarkan dalam bentuk desimal 0,06 atau 0,09)</t>
    </r>
    <r>
      <rPr>
        <sz val="11"/>
        <color theme="1"/>
        <rFont val="Calibri"/>
        <family val="2"/>
        <scheme val="minor"/>
      </rPr>
      <t>.</t>
    </r>
  </si>
  <si>
    <t>Pembuatan Slicer</t>
  </si>
  <si>
    <r>
      <t xml:space="preserve">Untuk membuatl lebih interaktif dan informatif, tampilkan </t>
    </r>
    <r>
      <rPr>
        <b/>
        <sz val="11"/>
        <color theme="1"/>
        <rFont val="Calibri"/>
        <family val="2"/>
        <scheme val="minor"/>
      </rPr>
      <t>tiga jenis Slicer</t>
    </r>
    <r>
      <rPr>
        <sz val="11"/>
        <color theme="1"/>
        <rFont val="Calibri"/>
        <family val="2"/>
        <scheme val="minor"/>
      </rPr>
      <t xml:space="preserve"> berikut:</t>
    </r>
  </si>
  <si>
    <r>
      <t>Slicer RUTE:</t>
    </r>
    <r>
      <rPr>
        <sz val="11"/>
        <color theme="1"/>
        <rFont val="Calibri"/>
        <family val="2"/>
        <scheme val="minor"/>
      </rPr>
      <t xml:space="preserve"> Digunakan untuk memfilter seluruh laporan berdasarkan rute penerbangan tertentu (seperti Jakarta – Bali atau Jakarta – Medan).</t>
    </r>
  </si>
  <si>
    <r>
      <t>Slicer NAMA KELAS:</t>
    </r>
    <r>
      <rPr>
        <sz val="11"/>
        <color theme="1"/>
        <rFont val="Calibri"/>
        <family val="2"/>
        <scheme val="minor"/>
      </rPr>
      <t xml:space="preserve"> Digunakan untuk melihat performa pendapatan atau jumlah penumpang berdasarkan kelas (Business, Economy, First Class).</t>
    </r>
  </si>
  <si>
    <t>Slicer yang Perlu Ditampilkan</t>
  </si>
  <si>
    <r>
      <t>Slicer STATUS BAGASI:</t>
    </r>
    <r>
      <rPr>
        <sz val="11"/>
        <color theme="1"/>
        <rFont val="Calibri"/>
        <family val="2"/>
        <scheme val="minor"/>
      </rPr>
      <t xml:space="preserve"> Digunakan untuk memisahkan data antara penumpang dengan bagasi "Berbayar" atau "Gratis".</t>
    </r>
  </si>
  <si>
    <t>Cara Menampilkan Slicer</t>
  </si>
  <si>
    <t>Ikuti langkah-langkah berikut untuk memunculkan Slicer di lembar kerja Excel:</t>
  </si>
  <si>
    <r>
      <t>Klik Area Pivot Table:</t>
    </r>
    <r>
      <rPr>
        <sz val="11"/>
        <color theme="1"/>
        <rFont val="Calibri"/>
        <family val="2"/>
        <scheme val="minor"/>
      </rPr>
      <t xml:space="preserve"> Klik di mana saja di dalam salah satu Pivot Table yang sudah dibuat.</t>
    </r>
  </si>
  <si>
    <r>
      <t>Buka Menu Analyze:</t>
    </r>
    <r>
      <rPr>
        <sz val="11"/>
        <color theme="1"/>
        <rFont val="Calibri"/>
        <family val="2"/>
        <scheme val="minor"/>
      </rPr>
      <t xml:space="preserve"> Di bagian atas jendela Excel, klik tab </t>
    </r>
    <r>
      <rPr>
        <b/>
        <sz val="11"/>
        <color theme="1"/>
        <rFont val="Calibri"/>
        <family val="2"/>
        <scheme val="minor"/>
      </rPr>
      <t>PivotTable Analyze</t>
    </r>
    <r>
      <rPr>
        <sz val="11"/>
        <color theme="1"/>
        <rFont val="Calibri"/>
        <family val="2"/>
        <scheme val="minor"/>
      </rPr>
      <t xml:space="preserve"> (</t>
    </r>
    <r>
      <rPr>
        <b/>
        <sz val="11"/>
        <color theme="1"/>
        <rFont val="Calibri"/>
        <family val="2"/>
        <scheme val="minor"/>
      </rPr>
      <t>Analyze</t>
    </r>
    <r>
      <rPr>
        <sz val="11"/>
        <color theme="1"/>
        <rFont val="Calibri"/>
        <family val="2"/>
        <scheme val="minor"/>
      </rPr>
      <t xml:space="preserve"> pada versi lama) atau </t>
    </r>
    <r>
      <rPr>
        <b/>
        <sz val="11"/>
        <color theme="1"/>
        <rFont val="Calibri"/>
        <family val="2"/>
        <scheme val="minor"/>
      </rPr>
      <t>Options</t>
    </r>
    <r>
      <rPr>
        <sz val="11"/>
        <color theme="1"/>
        <rFont val="Calibri"/>
        <family val="2"/>
        <scheme val="minor"/>
      </rPr>
      <t>.</t>
    </r>
  </si>
  <si>
    <r>
      <t>Pilih Insert Slicer:</t>
    </r>
    <r>
      <rPr>
        <sz val="11"/>
        <color theme="1"/>
        <rFont val="Calibri"/>
        <family val="2"/>
        <scheme val="minor"/>
      </rPr>
      <t xml:space="preserve"> Pada grup menu</t>
    </r>
    <r>
      <rPr>
        <i/>
        <sz val="11"/>
        <color theme="1"/>
        <rFont val="Calibri"/>
        <family val="2"/>
        <scheme val="minor"/>
      </rPr>
      <t xml:space="preserve"> Sort &amp;</t>
    </r>
    <r>
      <rPr>
        <sz val="11"/>
        <color theme="1"/>
        <rFont val="Calibri"/>
        <family val="2"/>
        <scheme val="minor"/>
      </rPr>
      <t xml:space="preserve"> </t>
    </r>
    <r>
      <rPr>
        <i/>
        <sz val="11"/>
        <color theme="1"/>
        <rFont val="Calibri"/>
        <family val="2"/>
        <scheme val="minor"/>
      </rPr>
      <t>Filter</t>
    </r>
    <r>
      <rPr>
        <sz val="11"/>
        <color theme="1"/>
        <rFont val="Calibri"/>
        <family val="2"/>
        <scheme val="minor"/>
      </rPr>
      <t xml:space="preserve">, klik tombol </t>
    </r>
    <r>
      <rPr>
        <b/>
        <sz val="11"/>
        <color theme="1"/>
        <rFont val="Calibri"/>
        <family val="2"/>
        <scheme val="minor"/>
      </rPr>
      <t>Insert Slicer</t>
    </r>
    <r>
      <rPr>
        <sz val="11"/>
        <color theme="1"/>
        <rFont val="Calibri"/>
        <family val="2"/>
        <scheme val="minor"/>
      </rPr>
      <t>.</t>
    </r>
  </si>
  <si>
    <r>
      <t>Pilih Field:</t>
    </r>
    <r>
      <rPr>
        <sz val="11"/>
        <color theme="1"/>
        <rFont val="Calibri"/>
        <family val="2"/>
        <scheme val="minor"/>
      </rPr>
      <t xml:space="preserve"> Akan muncul jendela kecil berisi daftar judul kolom. Berikan tanda centang pada kotak </t>
    </r>
    <r>
      <rPr>
        <b/>
        <sz val="11"/>
        <color theme="1"/>
        <rFont val="Calibri"/>
        <family val="2"/>
        <scheme val="minor"/>
      </rPr>
      <t>RUTE</t>
    </r>
    <r>
      <rPr>
        <sz val="11"/>
        <color theme="1"/>
        <rFont val="Calibri"/>
        <family val="2"/>
        <scheme val="minor"/>
      </rPr>
      <t xml:space="preserve">, </t>
    </r>
    <r>
      <rPr>
        <b/>
        <sz val="11"/>
        <color theme="1"/>
        <rFont val="Calibri"/>
        <family val="2"/>
        <scheme val="minor"/>
      </rPr>
      <t>NAMA KELAS</t>
    </r>
    <r>
      <rPr>
        <sz val="11"/>
        <color theme="1"/>
        <rFont val="Calibri"/>
        <family val="2"/>
        <scheme val="minor"/>
      </rPr>
      <t xml:space="preserve">, dan </t>
    </r>
    <r>
      <rPr>
        <b/>
        <sz val="11"/>
        <color theme="1"/>
        <rFont val="Calibri"/>
        <family val="2"/>
        <scheme val="minor"/>
      </rPr>
      <t>STATUS BAGASI</t>
    </r>
    <r>
      <rPr>
        <sz val="11"/>
        <color theme="1"/>
        <rFont val="Calibri"/>
        <family val="2"/>
        <scheme val="minor"/>
      </rPr>
      <t xml:space="preserve">, lalu klik </t>
    </r>
    <r>
      <rPr>
        <b/>
        <sz val="11"/>
        <color theme="1"/>
        <rFont val="Calibri"/>
        <family val="2"/>
        <scheme val="minor"/>
      </rPr>
      <t>OK</t>
    </r>
    <r>
      <rPr>
        <sz val="11"/>
        <color theme="1"/>
        <rFont val="Calibri"/>
        <family val="2"/>
        <scheme val="minor"/>
      </rPr>
      <t>.</t>
    </r>
  </si>
  <si>
    <r>
      <t xml:space="preserve">Atur Posisi: </t>
    </r>
    <r>
      <rPr>
        <sz val="11"/>
        <color theme="1"/>
        <rFont val="Calibri"/>
        <family val="2"/>
        <scheme val="minor"/>
      </rPr>
      <t>Slicer akan muncul di layar. Klik dan tarik</t>
    </r>
    <r>
      <rPr>
        <i/>
        <sz val="11"/>
        <color theme="1"/>
        <rFont val="Calibri"/>
        <family val="2"/>
        <scheme val="minor"/>
      </rPr>
      <t xml:space="preserve"> (drag) </t>
    </r>
    <r>
      <rPr>
        <sz val="11"/>
        <color theme="1"/>
        <rFont val="Calibri"/>
        <family val="2"/>
        <scheme val="minor"/>
      </rPr>
      <t>Slicer tersebut ke area kosong di samping, di atas atau di bawah grafik untuk membentuk tampilan yang rapi.</t>
    </r>
  </si>
  <si>
    <t>Cara Menghubungkan Slicer ke Seluruh Tabel (Penting)</t>
  </si>
  <si>
    <t>Agar satu Slicer bisa mengontrol ketiga Pivot Table dan ketiga Chart sekaligus, maka harus melakukan langkah tambahan ini:</t>
  </si>
  <si>
    <r>
      <t>Pilih Report Connections:</t>
    </r>
    <r>
      <rPr>
        <sz val="11"/>
        <color theme="1"/>
        <rFont val="Calibri"/>
        <family val="2"/>
        <scheme val="minor"/>
      </rPr>
      <t xml:space="preserve"> Klik menu </t>
    </r>
    <r>
      <rPr>
        <b/>
        <sz val="11"/>
        <color theme="1"/>
        <rFont val="Calibri"/>
        <family val="2"/>
        <scheme val="minor"/>
      </rPr>
      <t>Report Connections...</t>
    </r>
    <r>
      <rPr>
        <sz val="11"/>
        <color theme="1"/>
        <rFont val="Calibri"/>
        <family val="2"/>
        <scheme val="minor"/>
      </rPr>
      <t>.</t>
    </r>
  </si>
  <si>
    <r>
      <t>Centang Semua Tabel:</t>
    </r>
    <r>
      <rPr>
        <sz val="11"/>
        <color theme="1"/>
        <rFont val="Calibri"/>
        <family val="2"/>
        <scheme val="minor"/>
      </rPr>
      <t xml:space="preserve"> Pada jendela yang muncul, berikan tanda centang pada </t>
    </r>
    <r>
      <rPr>
        <b/>
        <sz val="11"/>
        <color theme="1"/>
        <rFont val="Calibri"/>
        <family val="2"/>
        <scheme val="minor"/>
      </rPr>
      <t>semua nama Pivot Table</t>
    </r>
    <r>
      <rPr>
        <sz val="11"/>
        <color theme="1"/>
        <rFont val="Calibri"/>
        <family val="2"/>
        <scheme val="minor"/>
      </rPr>
      <t xml:space="preserve"> yang ada di daftar tersebut (misal: PivotTable1, PivotTable2, dan PivotTable3), lalu klik </t>
    </r>
    <r>
      <rPr>
        <b/>
        <sz val="11"/>
        <color theme="1"/>
        <rFont val="Calibri"/>
        <family val="2"/>
        <scheme val="minor"/>
      </rPr>
      <t>OK</t>
    </r>
    <r>
      <rPr>
        <sz val="11"/>
        <color theme="1"/>
        <rFont val="Calibri"/>
        <family val="2"/>
        <scheme val="minor"/>
      </rPr>
      <t>.</t>
    </r>
  </si>
  <si>
    <r>
      <t>Ulangi:</t>
    </r>
    <r>
      <rPr>
        <sz val="11"/>
        <color theme="1"/>
        <rFont val="Calibri"/>
        <family val="2"/>
        <scheme val="minor"/>
      </rPr>
      <t xml:space="preserve"> Lakukan hal yang sama untuk Slicer "Nama Kelas" dan "Status Bagasi".</t>
    </r>
  </si>
  <si>
    <r>
      <t>Klik Kanan Slicer:</t>
    </r>
    <r>
      <rPr>
        <sz val="11"/>
        <color theme="1"/>
        <rFont val="Calibri"/>
        <family val="2"/>
        <scheme val="minor"/>
      </rPr>
      <t xml:space="preserve"> Klik kanan pada salah satu Slicer (misalnya: Slicer RUTE).</t>
    </r>
  </si>
  <si>
    <t>Sum of TOTAL BIAYA</t>
  </si>
  <si>
    <t>Row Labels</t>
  </si>
  <si>
    <t>Column Labels</t>
  </si>
  <si>
    <t>Gratis</t>
  </si>
  <si>
    <t>Count of NAMA PENUMPANG</t>
  </si>
  <si>
    <t>Berbayar</t>
  </si>
  <si>
    <t>Jarak Dekat</t>
  </si>
  <si>
    <t>Jarak Jauh</t>
  </si>
  <si>
    <t>Average of DURASI</t>
  </si>
  <si>
    <t>BUSINESS</t>
  </si>
  <si>
    <t>ECONOMY</t>
  </si>
  <si>
    <t>FIRST CLASS</t>
  </si>
  <si>
    <t>Daffa Farros Azhari</t>
  </si>
  <si>
    <t>azharidaffa18@gmail.com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</si>
</sst>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Rp&quot;* #,##0_-;\-&quot;Rp&quot;* #,##0_-;_-&quot;Rp&quot;* &quot;-&quot;_-;_-@_-"/>
    <numFmt numFmtId="164" formatCode="@* \:"/>
    <numFmt numFmtId="165" formatCode="[$-13809]hh:mm;@"/>
    <numFmt numFmtId="166" formatCode="_-&quot;Rp&quot;* #,##0_-;\-&quot;Rp&quot;* #,##0_-;_-&quot;Rp&quot;* &quot;-&quot;??_-;_-@_-"/>
  </numFmts>
  <fonts count="10"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b/>
      <sz val="20"/>
      <color theme="1"/>
      <name val="Calibri"/>
      <family val="2"/>
      <scheme val="minor"/>
    </font>
    <font>
      <sz val="11"/>
      <color theme="1"/>
      <name val="Calibri"/>
      <family val="2"/>
      <scheme val="minor"/>
    </font>
    <font>
      <b/>
      <sz val="11"/>
      <color theme="0"/>
      <name val="Calibri"/>
      <family val="2"/>
      <scheme val="minor"/>
    </font>
    <font>
      <sz val="11"/>
      <color theme="1"/>
      <name val="Times New Roman"/>
      <family val="1"/>
    </font>
    <font>
      <b/>
      <sz val="18"/>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theme="3"/>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59999389629810485"/>
        <bgColor indexed="64"/>
      </patternFill>
    </fill>
  </fills>
  <borders count="10">
    <border>
      <left/>
      <right/>
      <top/>
      <bottom/>
      <diagonal/>
    </border>
    <border>
      <left/>
      <right/>
      <top style="thin">
        <color theme="0" tint="-0.249977111117893"/>
      </top>
      <bottom/>
      <diagonal/>
    </border>
    <border>
      <left/>
      <right/>
      <top/>
      <bottom style="double">
        <color theme="0" tint="-0.249977111117893"/>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s>
  <cellStyleXfs count="3">
    <xf numFmtId="0" fontId="0" fillId="0" borderId="0"/>
    <xf numFmtId="42" fontId="5" fillId="0" borderId="0" applyFont="0" applyFill="0" applyBorder="0" applyAlignment="0" applyProtection="0"/>
    <xf numFmtId="0" fontId="9" fillId="0" borderId="0" applyNumberFormat="0" applyFill="0" applyBorder="0" applyAlignment="0" applyProtection="0"/>
  </cellStyleXfs>
  <cellXfs count="63">
    <xf numFmtId="0" fontId="0" fillId="0" borderId="0" xfId="0"/>
    <xf numFmtId="0" fontId="2" fillId="0" borderId="0" xfId="0" applyFont="1"/>
    <xf numFmtId="164" fontId="1" fillId="0" borderId="0" xfId="0" applyNumberFormat="1" applyFont="1"/>
    <xf numFmtId="0" fontId="0" fillId="0" borderId="4" xfId="0" applyBorder="1" applyAlignment="1">
      <alignment vertical="center" wrapText="1"/>
    </xf>
    <xf numFmtId="20" fontId="0" fillId="0" borderId="4" xfId="0" applyNumberFormat="1" applyBorder="1" applyAlignment="1">
      <alignment vertical="center" wrapText="1"/>
    </xf>
    <xf numFmtId="42" fontId="0" fillId="0" borderId="4" xfId="1" applyFont="1" applyBorder="1" applyAlignment="1">
      <alignment vertical="center" wrapText="1"/>
    </xf>
    <xf numFmtId="0" fontId="1" fillId="0" borderId="0" xfId="0" applyFont="1"/>
    <xf numFmtId="0" fontId="0" fillId="0" borderId="0" xfId="0" applyAlignment="1">
      <alignment vertical="center" wrapText="1"/>
    </xf>
    <xf numFmtId="0" fontId="1" fillId="0" borderId="0" xfId="0" applyFont="1" applyAlignment="1">
      <alignment vertical="center" wrapText="1"/>
    </xf>
    <xf numFmtId="0" fontId="1" fillId="5" borderId="4" xfId="0" applyFont="1" applyFill="1" applyBorder="1" applyAlignment="1">
      <alignment vertical="center" wrapText="1"/>
    </xf>
    <xf numFmtId="0" fontId="1" fillId="0" borderId="4" xfId="0" applyFont="1" applyBorder="1" applyAlignment="1">
      <alignment horizontal="center" vertical="center" wrapText="1"/>
    </xf>
    <xf numFmtId="0" fontId="0" fillId="6" borderId="4" xfId="0" applyFill="1" applyBorder="1" applyAlignment="1">
      <alignment horizontal="center" vertical="center" wrapText="1"/>
    </xf>
    <xf numFmtId="0" fontId="0" fillId="6" borderId="4" xfId="0" applyFill="1" applyBorder="1" applyAlignment="1">
      <alignment vertical="center" wrapText="1"/>
    </xf>
    <xf numFmtId="0" fontId="7" fillId="0" borderId="4" xfId="0" applyFont="1" applyBorder="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14" fontId="0" fillId="6" borderId="4" xfId="0" applyNumberFormat="1" applyFill="1" applyBorder="1" applyAlignment="1">
      <alignment horizontal="center" vertical="center" wrapText="1"/>
    </xf>
    <xf numFmtId="0" fontId="0" fillId="0" borderId="4" xfId="0" applyBorder="1" applyAlignment="1">
      <alignment horizontal="center"/>
    </xf>
    <xf numFmtId="165" fontId="0" fillId="0" borderId="4" xfId="0" applyNumberFormat="1" applyBorder="1" applyAlignment="1">
      <alignment horizontal="center"/>
    </xf>
    <xf numFmtId="166" fontId="0" fillId="0" borderId="4" xfId="1" applyNumberFormat="1" applyFont="1" applyBorder="1" applyAlignment="1">
      <alignment horizontal="center"/>
    </xf>
    <xf numFmtId="166" fontId="0" fillId="0" borderId="4" xfId="0" applyNumberFormat="1" applyBorder="1" applyAlignment="1">
      <alignment horizontal="center"/>
    </xf>
    <xf numFmtId="0" fontId="0" fillId="0" borderId="4" xfId="1" applyNumberFormat="1" applyFont="1" applyBorder="1" applyAlignment="1">
      <alignment horizont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2" xfId="0" applyFont="1" applyBorder="1" applyAlignment="1">
      <alignment horizontal="center" vertical="center"/>
    </xf>
    <xf numFmtId="0" fontId="3" fillId="0" borderId="3" xfId="0" applyFont="1" applyBorder="1" applyAlignment="1">
      <alignment horizontal="left"/>
    </xf>
    <xf numFmtId="0" fontId="3" fillId="0" borderId="0" xfId="0" applyFont="1" applyAlignment="1">
      <alignment horizontal="left" wrapText="1"/>
    </xf>
    <xf numFmtId="0" fontId="1" fillId="0" borderId="4" xfId="0" applyFont="1" applyBorder="1"/>
    <xf numFmtId="0" fontId="0" fillId="0" borderId="4" xfId="0" applyBorder="1" applyAlignment="1">
      <alignment horizontal="center" vertical="center"/>
    </xf>
    <xf numFmtId="0" fontId="0" fillId="0" borderId="4" xfId="0" applyBorder="1"/>
    <xf numFmtId="0" fontId="8" fillId="0" borderId="1" xfId="0" applyFont="1" applyBorder="1" applyAlignment="1">
      <alignment horizontal="center" vertical="center"/>
    </xf>
    <xf numFmtId="0" fontId="8" fillId="0" borderId="0" xfId="0" applyFont="1" applyAlignment="1">
      <alignment horizontal="center" vertical="center"/>
    </xf>
    <xf numFmtId="0" fontId="8" fillId="0" borderId="2" xfId="0" applyFont="1" applyBorder="1" applyAlignment="1">
      <alignment horizontal="center" vertical="center"/>
    </xf>
    <xf numFmtId="0" fontId="1" fillId="0" borderId="4" xfId="0" applyFont="1" applyBorder="1" applyAlignment="1">
      <alignment wrapText="1"/>
    </xf>
    <xf numFmtId="0" fontId="0" fillId="0" borderId="4" xfId="0" applyBorder="1" applyAlignment="1">
      <alignment wrapText="1"/>
    </xf>
    <xf numFmtId="0" fontId="1" fillId="7" borderId="4" xfId="0" applyFont="1" applyFill="1" applyBorder="1"/>
    <xf numFmtId="0" fontId="1" fillId="8" borderId="4" xfId="0" applyFont="1" applyFill="1" applyBorder="1" applyAlignment="1">
      <alignment horizontal="center" vertical="center"/>
    </xf>
    <xf numFmtId="0" fontId="0" fillId="7" borderId="7" xfId="0" applyFill="1" applyBorder="1"/>
    <xf numFmtId="0" fontId="0" fillId="7" borderId="6" xfId="0" applyFill="1" applyBorder="1"/>
    <xf numFmtId="0" fontId="0" fillId="7" borderId="8" xfId="0" applyFill="1" applyBorder="1"/>
    <xf numFmtId="0" fontId="3" fillId="0" borderId="4" xfId="0" applyFont="1" applyBorder="1" applyAlignment="1">
      <alignment wrapText="1"/>
    </xf>
    <xf numFmtId="0" fontId="0" fillId="0" borderId="7" xfId="0" applyBorder="1"/>
    <xf numFmtId="0" fontId="0" fillId="0" borderId="6" xfId="0" applyBorder="1"/>
    <xf numFmtId="0" fontId="0" fillId="0" borderId="8" xfId="0" applyBorder="1"/>
    <xf numFmtId="0" fontId="0" fillId="7" borderId="4" xfId="0" applyFill="1" applyBorder="1"/>
    <xf numFmtId="0" fontId="1" fillId="0" borderId="3" xfId="0" applyFont="1" applyBorder="1"/>
    <xf numFmtId="0" fontId="1" fillId="2" borderId="4" xfId="0" applyFont="1" applyFill="1" applyBorder="1" applyAlignment="1">
      <alignment horizontal="center" vertical="center" wrapText="1"/>
    </xf>
    <xf numFmtId="0" fontId="1" fillId="3" borderId="4" xfId="0" applyFont="1" applyFill="1" applyBorder="1"/>
    <xf numFmtId="0" fontId="1" fillId="6" borderId="4" xfId="0" applyFont="1" applyFill="1" applyBorder="1"/>
    <xf numFmtId="0" fontId="0" fillId="0" borderId="4" xfId="0" applyBorder="1" applyAlignment="1">
      <alignment vertical="center" wrapText="1"/>
    </xf>
    <xf numFmtId="0" fontId="1" fillId="0" borderId="0" xfId="0" applyFont="1"/>
    <xf numFmtId="0" fontId="3" fillId="0" borderId="0" xfId="0" applyFont="1"/>
    <xf numFmtId="0" fontId="0" fillId="0" borderId="0" xfId="0" pivotButton="1"/>
    <xf numFmtId="0" fontId="0" fillId="0" borderId="0" xfId="0" applyAlignment="1">
      <alignment horizontal="left"/>
    </xf>
    <xf numFmtId="0" fontId="0" fillId="0" borderId="9" xfId="0" pivotButton="1" applyBorder="1" applyAlignment="1">
      <alignment horizontal="center" vertical="center"/>
    </xf>
    <xf numFmtId="0" fontId="0" fillId="0" borderId="9" xfId="0" applyBorder="1" applyAlignment="1">
      <alignment horizontal="center" vertical="center"/>
    </xf>
    <xf numFmtId="166" fontId="0" fillId="0" borderId="9" xfId="0" applyNumberFormat="1" applyBorder="1" applyAlignment="1">
      <alignment horizontal="center" vertical="center"/>
    </xf>
    <xf numFmtId="0" fontId="0" fillId="0" borderId="9" xfId="0" applyNumberFormat="1" applyBorder="1" applyAlignment="1">
      <alignment horizontal="center" vertical="center"/>
    </xf>
    <xf numFmtId="166" fontId="0" fillId="0" borderId="0" xfId="0" applyNumberFormat="1"/>
    <xf numFmtId="165" fontId="0" fillId="0" borderId="0" xfId="0" applyNumberFormat="1"/>
    <xf numFmtId="0" fontId="9" fillId="0" borderId="3" xfId="2" applyBorder="1" applyAlignment="1">
      <alignment horizontal="left"/>
    </xf>
  </cellXfs>
  <cellStyles count="3">
    <cellStyle name="Currency [0]" xfId="1" builtinId="7"/>
    <cellStyle name="Hyperlink" xfId="2" builtinId="8"/>
    <cellStyle name="Normal" xfId="0" builtinId="0"/>
  </cellStyles>
  <dxfs count="9">
    <dxf>
      <font>
        <b/>
        <i val="0"/>
      </font>
      <fill>
        <patternFill>
          <bgColor rgb="FFCFD8DC"/>
        </patternFill>
      </fill>
    </dxf>
    <dxf>
      <fill>
        <patternFill>
          <bgColor rgb="FFECEFF1"/>
        </patternFill>
      </fill>
    </dxf>
    <dxf>
      <fill>
        <patternFill>
          <fgColor rgb="FFECEFF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2" defaultTableStyle="TableStyleMedium2" defaultPivotStyle="PivotStyleLight16">
    <tableStyle name="Slicer Style 1" pivot="0" table="0" count="1" xr9:uid="{636898D9-B60D-43E3-BD00-DC2E976145E5}">
      <tableStyleElement type="wholeTable" dxfId="2"/>
    </tableStyle>
    <tableStyle name="Slicer Style 2" pivot="0" table="0" count="2" xr9:uid="{F682B421-062C-4AAF-B925-14679E6A680C}">
      <tableStyleElement type="wholeTable" dxfId="1"/>
      <tableStyleElement type="headerRow" dxfId="0"/>
    </tableStyle>
  </tableStyles>
  <colors>
    <mruColors>
      <color rgb="FF2E7D32"/>
      <color rgb="FF90A4AE"/>
      <color rgb="FFCFD8DC"/>
      <color rgb="FFECEFF1"/>
      <color rgb="FF43A047"/>
      <color rgb="FF0D47A1"/>
      <color rgb="FF1565C0"/>
      <color rgb="FFF9A82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[LATIHAN 93 ㅡ (Soal Unjuk Keterampilan).xlsx]Pivot Table Chart!PivotTable3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200" b="1">
                <a:latin typeface="Times New Roman" panose="02020603050405020304" pitchFamily="18" charset="0"/>
                <a:cs typeface="Times New Roman" panose="02020603050405020304" pitchFamily="18" charset="0"/>
              </a:rPr>
              <a:t>Perbandingan</a:t>
            </a:r>
            <a:r>
              <a:rPr lang="en-ID" sz="1200" b="1" baseline="0">
                <a:latin typeface="Times New Roman" panose="02020603050405020304" pitchFamily="18" charset="0"/>
                <a:cs typeface="Times New Roman" panose="02020603050405020304" pitchFamily="18" charset="0"/>
              </a:rPr>
              <a:t> Rata-Rata Durasi Terbang</a:t>
            </a:r>
            <a:endParaRPr lang="en-ID"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rgbClr val="0D47A1"/>
          </a:solidFill>
          <a:ln w="19050">
            <a:solidFill>
              <a:schemeClr val="lt1"/>
            </a:solidFill>
          </a:ln>
          <a:effectLst/>
        </c:spPr>
        <c:marker>
          <c:symbol val="none"/>
        </c:marke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3A047"/>
          </a:solidFill>
          <a:ln w="19050">
            <a:solidFill>
              <a:schemeClr val="lt1"/>
            </a:solidFill>
          </a:ln>
          <a:effectLst/>
        </c:spPr>
      </c:pivotFmt>
      <c:pivotFmt>
        <c:idx val="2"/>
        <c:spPr>
          <a:solidFill>
            <a:srgbClr val="0D47A1"/>
          </a:solidFill>
          <a:ln w="19050">
            <a:solidFill>
              <a:schemeClr val="lt1"/>
            </a:solidFill>
          </a:ln>
          <a:effectLst/>
        </c:spPr>
        <c:marker>
          <c:symbol val="none"/>
        </c:marke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3A047"/>
          </a:solidFill>
          <a:ln w="19050">
            <a:solidFill>
              <a:schemeClr val="lt1"/>
            </a:solidFill>
          </a:ln>
          <a:effectLst/>
        </c:spPr>
      </c:pivotFmt>
      <c:pivotFmt>
        <c:idx val="4"/>
        <c:spPr>
          <a:solidFill>
            <a:srgbClr val="0D47A1"/>
          </a:solidFill>
          <a:ln w="19050">
            <a:solidFill>
              <a:schemeClr val="lt1"/>
            </a:solidFill>
          </a:ln>
          <a:effectLst/>
        </c:spPr>
      </c:pivotFmt>
      <c:pivotFmt>
        <c:idx val="5"/>
        <c:spPr>
          <a:solidFill>
            <a:srgbClr val="0D47A1"/>
          </a:solidFill>
          <a:ln w="19050">
            <a:solidFill>
              <a:schemeClr val="lt1"/>
            </a:solidFill>
          </a:ln>
          <a:effectLst/>
        </c:spPr>
        <c:marker>
          <c:symbol val="none"/>
        </c:marke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3A047"/>
          </a:solidFill>
          <a:ln w="19050">
            <a:solidFill>
              <a:schemeClr val="lt1"/>
            </a:solidFill>
          </a:ln>
          <a:effectLst/>
        </c:spPr>
      </c:pivotFmt>
      <c:pivotFmt>
        <c:idx val="7"/>
        <c:spPr>
          <a:solidFill>
            <a:srgbClr val="0D47A1"/>
          </a:solidFill>
          <a:ln w="19050">
            <a:solidFill>
              <a:schemeClr val="lt1"/>
            </a:solidFill>
          </a:ln>
          <a:effectLst/>
        </c:spPr>
      </c:pivotFmt>
    </c:pivotFmts>
    <c:plotArea>
      <c:layout/>
      <c:pieChart>
        <c:varyColors val="1"/>
        <c:ser>
          <c:idx val="0"/>
          <c:order val="0"/>
          <c:tx>
            <c:strRef>
              <c:f>'Pivot Table Chart'!$B$21</c:f>
              <c:strCache>
                <c:ptCount val="1"/>
                <c:pt idx="0">
                  <c:v>Total</c:v>
                </c:pt>
              </c:strCache>
            </c:strRef>
          </c:tx>
          <c:spPr>
            <a:solidFill>
              <a:srgbClr val="0D47A1"/>
            </a:solidFill>
          </c:spPr>
          <c:dPt>
            <c:idx val="0"/>
            <c:bubble3D val="0"/>
            <c:spPr>
              <a:solidFill>
                <a:srgbClr val="43A047"/>
              </a:solidFill>
              <a:ln w="19050">
                <a:solidFill>
                  <a:schemeClr val="lt1"/>
                </a:solidFill>
              </a:ln>
              <a:effectLst/>
            </c:spPr>
            <c:extLst>
              <c:ext xmlns:c16="http://schemas.microsoft.com/office/drawing/2014/chart" uri="{C3380CC4-5D6E-409C-BE32-E72D297353CC}">
                <c16:uniqueId val="{00000001-5CDF-4402-A3C3-E65406D2F114}"/>
              </c:ext>
            </c:extLst>
          </c:dPt>
          <c:dPt>
            <c:idx val="1"/>
            <c:bubble3D val="0"/>
            <c:spPr>
              <a:solidFill>
                <a:srgbClr val="0D47A1"/>
              </a:solidFill>
              <a:ln w="19050">
                <a:solidFill>
                  <a:schemeClr val="lt1"/>
                </a:solidFill>
              </a:ln>
              <a:effectLst/>
            </c:spPr>
            <c:extLst>
              <c:ext xmlns:c16="http://schemas.microsoft.com/office/drawing/2014/chart" uri="{C3380CC4-5D6E-409C-BE32-E72D297353CC}">
                <c16:uniqueId val="{00000003-5CDF-4402-A3C3-E65406D2F114}"/>
              </c:ext>
            </c:extLst>
          </c:dPt>
          <c:dLbls>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Chart'!$A$22:$A$23</c:f>
              <c:strCache>
                <c:ptCount val="2"/>
                <c:pt idx="0">
                  <c:v>Jarak Dekat</c:v>
                </c:pt>
                <c:pt idx="1">
                  <c:v>Jarak Jauh</c:v>
                </c:pt>
              </c:strCache>
            </c:strRef>
          </c:cat>
          <c:val>
            <c:numRef>
              <c:f>'Pivot Table Chart'!$B$22:$B$23</c:f>
              <c:numCache>
                <c:formatCode>[$-13809]hh:mm;@</c:formatCode>
                <c:ptCount val="2"/>
                <c:pt idx="0">
                  <c:v>6.25E-2</c:v>
                </c:pt>
                <c:pt idx="1">
                  <c:v>9.375E-2</c:v>
                </c:pt>
              </c:numCache>
            </c:numRef>
          </c:val>
          <c:extLst>
            <c:ext xmlns:c16="http://schemas.microsoft.com/office/drawing/2014/chart" uri="{C3380CC4-5D6E-409C-BE32-E72D297353CC}">
              <c16:uniqueId val="{00000004-5CDF-4402-A3C3-E65406D2F11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a:outerShdw blurRad="1524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[LATIHAN 93 ㅡ (Soal Unjuk Keterampilan).xlsx]Pivot Table Chart!PivotTable1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200" b="1" u="sng">
                <a:latin typeface="Times New Roman" panose="02020603050405020304" pitchFamily="18" charset="0"/>
                <a:cs typeface="Times New Roman" panose="02020603050405020304" pitchFamily="18" charset="0"/>
              </a:rPr>
              <a:t>Analisis Total Pendapatan per</a:t>
            </a:r>
            <a:r>
              <a:rPr lang="en-ID" sz="1200" b="1" u="sng" baseline="0">
                <a:latin typeface="Times New Roman" panose="02020603050405020304" pitchFamily="18" charset="0"/>
                <a:cs typeface="Times New Roman" panose="02020603050405020304" pitchFamily="18" charset="0"/>
              </a:rPr>
              <a:t> Rute dan Kelas Penerbangan</a:t>
            </a:r>
            <a:endParaRPr lang="en-ID" sz="1200" b="1" u="sng">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565C0"/>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7D32"/>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0A4AE"/>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0A4AE"/>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565C0"/>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7D32"/>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0A4AE"/>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565C0"/>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E7D32"/>
          </a:solidFill>
          <a:ln>
            <a:noFill/>
          </a:ln>
          <a:effectLst/>
        </c:spPr>
        <c:marker>
          <c:symbol val="none"/>
        </c:marker>
        <c:dLbl>
          <c:idx val="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Chart'!$B$3:$B$4</c:f>
              <c:strCache>
                <c:ptCount val="1"/>
                <c:pt idx="0">
                  <c:v>Business</c:v>
                </c:pt>
              </c:strCache>
            </c:strRef>
          </c:tx>
          <c:spPr>
            <a:solidFill>
              <a:srgbClr val="90A4AE"/>
            </a:solidFill>
            <a:ln>
              <a:noFill/>
            </a:ln>
            <a:effectLst/>
          </c:spPr>
          <c:invertIfNegative val="0"/>
          <c:dLbls>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Chart'!$A$5:$A$9</c:f>
              <c:strCache>
                <c:ptCount val="5"/>
                <c:pt idx="0">
                  <c:v>Jakarta – Bali</c:v>
                </c:pt>
                <c:pt idx="1">
                  <c:v>Jakarta – Lombok</c:v>
                </c:pt>
                <c:pt idx="2">
                  <c:v>Jakarta – Makassar</c:v>
                </c:pt>
                <c:pt idx="3">
                  <c:v>Jakarta – Medan</c:v>
                </c:pt>
                <c:pt idx="4">
                  <c:v>Jakarta – Surabaya</c:v>
                </c:pt>
              </c:strCache>
            </c:strRef>
          </c:cat>
          <c:val>
            <c:numRef>
              <c:f>'Pivot Table Chart'!$B$5:$B$9</c:f>
              <c:numCache>
                <c:formatCode>_-"Rp"* #,##0_-;\-"Rp"* #,##0_-;_-"Rp"* "-"??_-;_-@_-</c:formatCode>
                <c:ptCount val="5"/>
                <c:pt idx="0">
                  <c:v>3750000</c:v>
                </c:pt>
                <c:pt idx="1">
                  <c:v>8250000</c:v>
                </c:pt>
                <c:pt idx="2">
                  <c:v>8550000</c:v>
                </c:pt>
                <c:pt idx="3">
                  <c:v>7200000</c:v>
                </c:pt>
                <c:pt idx="4">
                  <c:v>5850000</c:v>
                </c:pt>
              </c:numCache>
            </c:numRef>
          </c:val>
          <c:extLst>
            <c:ext xmlns:c16="http://schemas.microsoft.com/office/drawing/2014/chart" uri="{C3380CC4-5D6E-409C-BE32-E72D297353CC}">
              <c16:uniqueId val="{00000000-5A67-4113-B402-9FCE782CE0D9}"/>
            </c:ext>
          </c:extLst>
        </c:ser>
        <c:ser>
          <c:idx val="1"/>
          <c:order val="1"/>
          <c:tx>
            <c:strRef>
              <c:f>'Pivot Table Chart'!$C$3:$C$4</c:f>
              <c:strCache>
                <c:ptCount val="1"/>
                <c:pt idx="0">
                  <c:v>Economy</c:v>
                </c:pt>
              </c:strCache>
            </c:strRef>
          </c:tx>
          <c:spPr>
            <a:solidFill>
              <a:srgbClr val="1565C0"/>
            </a:solidFill>
            <a:ln>
              <a:noFill/>
            </a:ln>
            <a:effectLst/>
          </c:spPr>
          <c:invertIfNegative val="0"/>
          <c:dLbls>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Chart'!$A$5:$A$9</c:f>
              <c:strCache>
                <c:ptCount val="5"/>
                <c:pt idx="0">
                  <c:v>Jakarta – Bali</c:v>
                </c:pt>
                <c:pt idx="1">
                  <c:v>Jakarta – Lombok</c:v>
                </c:pt>
                <c:pt idx="2">
                  <c:v>Jakarta – Makassar</c:v>
                </c:pt>
                <c:pt idx="3">
                  <c:v>Jakarta – Medan</c:v>
                </c:pt>
                <c:pt idx="4">
                  <c:v>Jakarta – Surabaya</c:v>
                </c:pt>
              </c:strCache>
            </c:strRef>
          </c:cat>
          <c:val>
            <c:numRef>
              <c:f>'Pivot Table Chart'!$C$5:$C$9</c:f>
              <c:numCache>
                <c:formatCode>_-"Rp"* #,##0_-;\-"Rp"* #,##0_-;_-"Rp"* "-"??_-;_-@_-</c:formatCode>
                <c:ptCount val="5"/>
                <c:pt idx="0">
                  <c:v>6000000</c:v>
                </c:pt>
                <c:pt idx="1">
                  <c:v>3900000</c:v>
                </c:pt>
                <c:pt idx="2">
                  <c:v>5400000</c:v>
                </c:pt>
                <c:pt idx="3">
                  <c:v>6000000</c:v>
                </c:pt>
                <c:pt idx="4">
                  <c:v>2700000</c:v>
                </c:pt>
              </c:numCache>
            </c:numRef>
          </c:val>
          <c:extLst>
            <c:ext xmlns:c16="http://schemas.microsoft.com/office/drawing/2014/chart" uri="{C3380CC4-5D6E-409C-BE32-E72D297353CC}">
              <c16:uniqueId val="{00000004-5A67-4113-B402-9FCE782CE0D9}"/>
            </c:ext>
          </c:extLst>
        </c:ser>
        <c:ser>
          <c:idx val="2"/>
          <c:order val="2"/>
          <c:tx>
            <c:strRef>
              <c:f>'Pivot Table Chart'!$D$3:$D$4</c:f>
              <c:strCache>
                <c:ptCount val="1"/>
                <c:pt idx="0">
                  <c:v>First Class</c:v>
                </c:pt>
              </c:strCache>
            </c:strRef>
          </c:tx>
          <c:spPr>
            <a:solidFill>
              <a:srgbClr val="2E7D32"/>
            </a:solidFill>
            <a:ln>
              <a:noFill/>
            </a:ln>
            <a:effectLst/>
          </c:spPr>
          <c:invertIfNegative val="0"/>
          <c:dLbls>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Chart'!$A$5:$A$9</c:f>
              <c:strCache>
                <c:ptCount val="5"/>
                <c:pt idx="0">
                  <c:v>Jakarta – Bali</c:v>
                </c:pt>
                <c:pt idx="1">
                  <c:v>Jakarta – Lombok</c:v>
                </c:pt>
                <c:pt idx="2">
                  <c:v>Jakarta – Makassar</c:v>
                </c:pt>
                <c:pt idx="3">
                  <c:v>Jakarta – Medan</c:v>
                </c:pt>
                <c:pt idx="4">
                  <c:v>Jakarta – Surabaya</c:v>
                </c:pt>
              </c:strCache>
            </c:strRef>
          </c:cat>
          <c:val>
            <c:numRef>
              <c:f>'Pivot Table Chart'!$D$5:$D$9</c:f>
              <c:numCache>
                <c:formatCode>_-"Rp"* #,##0_-;\-"Rp"* #,##0_-;_-"Rp"* "-"??_-;_-@_-</c:formatCode>
                <c:ptCount val="5"/>
                <c:pt idx="0">
                  <c:v>9000000</c:v>
                </c:pt>
                <c:pt idx="1">
                  <c:v>9900000</c:v>
                </c:pt>
                <c:pt idx="2">
                  <c:v>16800000</c:v>
                </c:pt>
                <c:pt idx="3">
                  <c:v>10100000</c:v>
                </c:pt>
                <c:pt idx="4">
                  <c:v>6500000</c:v>
                </c:pt>
              </c:numCache>
            </c:numRef>
          </c:val>
          <c:extLst>
            <c:ext xmlns:c16="http://schemas.microsoft.com/office/drawing/2014/chart" uri="{C3380CC4-5D6E-409C-BE32-E72D297353CC}">
              <c16:uniqueId val="{00000005-5A67-4113-B402-9FCE782CE0D9}"/>
            </c:ext>
          </c:extLst>
        </c:ser>
        <c:dLbls>
          <c:dLblPos val="inEnd"/>
          <c:showLegendKey val="0"/>
          <c:showVal val="1"/>
          <c:showCatName val="0"/>
          <c:showSerName val="0"/>
          <c:showPercent val="0"/>
          <c:showBubbleSize val="0"/>
        </c:dLbls>
        <c:gapWidth val="150"/>
        <c:overlap val="100"/>
        <c:axId val="1019951279"/>
        <c:axId val="1019948879"/>
      </c:barChart>
      <c:catAx>
        <c:axId val="1019951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latin typeface="Times New Roman" panose="02020603050405020304" pitchFamily="18" charset="0"/>
                    <a:cs typeface="Times New Roman" panose="02020603050405020304" pitchFamily="18" charset="0"/>
                  </a:rPr>
                  <a:t>Rute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9948879"/>
        <c:crosses val="autoZero"/>
        <c:auto val="1"/>
        <c:lblAlgn val="ctr"/>
        <c:lblOffset val="100"/>
        <c:noMultiLvlLbl val="0"/>
      </c:catAx>
      <c:valAx>
        <c:axId val="1019948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latin typeface="Times New Roman" panose="02020603050405020304" pitchFamily="18" charset="0"/>
                    <a:cs typeface="Times New Roman" panose="02020603050405020304" pitchFamily="18" charset="0"/>
                  </a:rPr>
                  <a:t>Nilai Rupiah</a:t>
                </a:r>
                <a:r>
                  <a:rPr lang="en-ID" b="1" baseline="0">
                    <a:latin typeface="Times New Roman" panose="02020603050405020304" pitchFamily="18" charset="0"/>
                    <a:cs typeface="Times New Roman" panose="02020603050405020304" pitchFamily="18" charset="0"/>
                  </a:rPr>
                  <a:t> (Total Biaya)</a:t>
                </a:r>
                <a:endParaRPr lang="en-ID"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9951279"/>
        <c:crosses val="autoZero"/>
        <c:crossBetween val="between"/>
      </c:valAx>
      <c:spPr>
        <a:noFill/>
        <a:ln>
          <a:solidFill>
            <a:schemeClr val="tx1"/>
          </a:solidFill>
          <a:prstDash val="sysDot"/>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a:glow>
        <a:schemeClr val="accent1">
          <a:alpha val="40000"/>
        </a:schemeClr>
      </a:glow>
      <a:outerShdw blurRad="1524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[LATIHAN 93 ㅡ (Soal Unjuk Keterampilan).xlsx]Pivot Table Chart!PivotTable2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200" b="1" u="sng">
                <a:latin typeface="Times New Roman" panose="02020603050405020304" pitchFamily="18" charset="0"/>
                <a:cs typeface="Times New Roman" panose="02020603050405020304" pitchFamily="18" charset="0"/>
              </a:rPr>
              <a:t>Distribusi Status</a:t>
            </a:r>
            <a:r>
              <a:rPr lang="en-ID" sz="1200" b="1" u="sng" baseline="0">
                <a:latin typeface="Times New Roman" panose="02020603050405020304" pitchFamily="18" charset="0"/>
                <a:cs typeface="Times New Roman" panose="02020603050405020304" pitchFamily="18" charset="0"/>
              </a:rPr>
              <a:t> Bagasi Penumpang per Rute</a:t>
            </a:r>
            <a:endParaRPr lang="en-ID" sz="1200" b="1" u="sng">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0A4AE"/>
          </a:solidFill>
          <a:ln>
            <a:noFill/>
          </a:ln>
          <a:effectLst/>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0A4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7D32"/>
          </a:solidFill>
          <a:ln>
            <a:noFill/>
          </a:ln>
          <a:effectLst/>
        </c:spPr>
      </c:pivotFmt>
      <c:pivotFmt>
        <c:idx val="5"/>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0A4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0A4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 Table Chart'!$B$12:$B$13</c:f>
              <c:strCache>
                <c:ptCount val="1"/>
                <c:pt idx="0">
                  <c:v>Berbayar</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Chart'!$A$14:$A$18</c:f>
              <c:strCache>
                <c:ptCount val="5"/>
                <c:pt idx="0">
                  <c:v>Jakarta – Bali</c:v>
                </c:pt>
                <c:pt idx="1">
                  <c:v>Jakarta – Lombok</c:v>
                </c:pt>
                <c:pt idx="2">
                  <c:v>Jakarta – Makassar</c:v>
                </c:pt>
                <c:pt idx="3">
                  <c:v>Jakarta – Medan</c:v>
                </c:pt>
                <c:pt idx="4">
                  <c:v>Jakarta – Surabaya</c:v>
                </c:pt>
              </c:strCache>
            </c:strRef>
          </c:cat>
          <c:val>
            <c:numRef>
              <c:f>'Pivot Table Chart'!$B$14:$B$18</c:f>
              <c:numCache>
                <c:formatCode>General</c:formatCode>
                <c:ptCount val="5"/>
                <c:pt idx="0">
                  <c:v>5</c:v>
                </c:pt>
                <c:pt idx="1">
                  <c:v>7</c:v>
                </c:pt>
                <c:pt idx="2">
                  <c:v>7</c:v>
                </c:pt>
                <c:pt idx="3">
                  <c:v>7</c:v>
                </c:pt>
                <c:pt idx="4">
                  <c:v>7</c:v>
                </c:pt>
              </c:numCache>
            </c:numRef>
          </c:val>
          <c:extLst>
            <c:ext xmlns:c16="http://schemas.microsoft.com/office/drawing/2014/chart" uri="{C3380CC4-5D6E-409C-BE32-E72D297353CC}">
              <c16:uniqueId val="{00000000-1BC5-41F5-AEBE-EF7069B87E26}"/>
            </c:ext>
          </c:extLst>
        </c:ser>
        <c:ser>
          <c:idx val="0"/>
          <c:order val="1"/>
          <c:tx>
            <c:strRef>
              <c:f>'Pivot Table Chart'!$C$12:$C$13</c:f>
              <c:strCache>
                <c:ptCount val="1"/>
                <c:pt idx="0">
                  <c:v>Gratis</c:v>
                </c:pt>
              </c:strCache>
            </c:strRef>
          </c:tx>
          <c:spPr>
            <a:solidFill>
              <a:srgbClr val="90A4A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Chart'!$A$14:$A$18</c:f>
              <c:strCache>
                <c:ptCount val="5"/>
                <c:pt idx="0">
                  <c:v>Jakarta – Bali</c:v>
                </c:pt>
                <c:pt idx="1">
                  <c:v>Jakarta – Lombok</c:v>
                </c:pt>
                <c:pt idx="2">
                  <c:v>Jakarta – Makassar</c:v>
                </c:pt>
                <c:pt idx="3">
                  <c:v>Jakarta – Medan</c:v>
                </c:pt>
                <c:pt idx="4">
                  <c:v>Jakarta – Surabaya</c:v>
                </c:pt>
              </c:strCache>
            </c:strRef>
          </c:cat>
          <c:val>
            <c:numRef>
              <c:f>'Pivot Table Chart'!$C$14:$C$18</c:f>
              <c:numCache>
                <c:formatCode>General</c:formatCode>
                <c:ptCount val="5"/>
                <c:pt idx="0">
                  <c:v>5</c:v>
                </c:pt>
                <c:pt idx="1">
                  <c:v>3</c:v>
                </c:pt>
                <c:pt idx="2">
                  <c:v>3</c:v>
                </c:pt>
                <c:pt idx="3">
                  <c:v>3</c:v>
                </c:pt>
                <c:pt idx="4">
                  <c:v>3</c:v>
                </c:pt>
              </c:numCache>
            </c:numRef>
          </c:val>
          <c:extLst>
            <c:ext xmlns:c16="http://schemas.microsoft.com/office/drawing/2014/chart" uri="{C3380CC4-5D6E-409C-BE32-E72D297353CC}">
              <c16:uniqueId val="{00000003-1BC5-41F5-AEBE-EF7069B87E26}"/>
            </c:ext>
          </c:extLst>
        </c:ser>
        <c:dLbls>
          <c:dLblPos val="inEnd"/>
          <c:showLegendKey val="0"/>
          <c:showVal val="1"/>
          <c:showCatName val="0"/>
          <c:showSerName val="0"/>
          <c:showPercent val="0"/>
          <c:showBubbleSize val="0"/>
        </c:dLbls>
        <c:gapWidth val="182"/>
        <c:axId val="1555769775"/>
        <c:axId val="1555777935"/>
      </c:barChart>
      <c:catAx>
        <c:axId val="1555769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latin typeface="Times New Roman" panose="02020603050405020304" pitchFamily="18" charset="0"/>
                    <a:cs typeface="Times New Roman" panose="02020603050405020304" pitchFamily="18" charset="0"/>
                  </a:rPr>
                  <a:t>Rute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5777935"/>
        <c:crosses val="autoZero"/>
        <c:auto val="1"/>
        <c:lblAlgn val="ctr"/>
        <c:lblOffset val="100"/>
        <c:noMultiLvlLbl val="0"/>
      </c:catAx>
      <c:valAx>
        <c:axId val="15557779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latin typeface="Times New Roman" panose="02020603050405020304" pitchFamily="18" charset="0"/>
                    <a:cs typeface="Times New Roman" panose="02020603050405020304" pitchFamily="18" charset="0"/>
                  </a:rPr>
                  <a:t>Jumlah Penumpang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57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a:outerShdw blurRad="1524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278187</xdr:colOff>
      <xdr:row>18</xdr:row>
      <xdr:rowOff>48374</xdr:rowOff>
    </xdr:from>
    <xdr:to>
      <xdr:col>5</xdr:col>
      <xdr:colOff>278187</xdr:colOff>
      <xdr:row>27</xdr:row>
      <xdr:rowOff>114449</xdr:rowOff>
    </xdr:to>
    <mc:AlternateContent xmlns:mc="http://schemas.openxmlformats.org/markup-compatibility/2006">
      <mc:Choice xmlns:a14="http://schemas.microsoft.com/office/drawing/2010/main" Requires="a14">
        <xdr:graphicFrame macro="">
          <xdr:nvGraphicFramePr>
            <xdr:cNvPr id="2" name="RUTE">
              <a:extLst>
                <a:ext uri="{FF2B5EF4-FFF2-40B4-BE49-F238E27FC236}">
                  <a16:creationId xmlns:a16="http://schemas.microsoft.com/office/drawing/2014/main" id="{F0A2940A-E3EA-4C1E-B07E-65CBBF47D123}"/>
                </a:ext>
              </a:extLst>
            </xdr:cNvPr>
            <xdr:cNvGraphicFramePr/>
          </xdr:nvGraphicFramePr>
          <xdr:xfrm>
            <a:off x="0" y="0"/>
            <a:ext cx="0" cy="0"/>
          </xdr:xfrm>
          <a:graphic>
            <a:graphicData uri="http://schemas.microsoft.com/office/drawing/2010/slicer">
              <sle:slicer xmlns:sle="http://schemas.microsoft.com/office/drawing/2010/slicer" name="RUTE"/>
            </a:graphicData>
          </a:graphic>
        </xdr:graphicFrame>
      </mc:Choice>
      <mc:Fallback>
        <xdr:sp macro="" textlink="">
          <xdr:nvSpPr>
            <xdr:cNvPr id="0" name=""/>
            <xdr:cNvSpPr>
              <a:spLocks noTextEdit="1"/>
            </xdr:cNvSpPr>
          </xdr:nvSpPr>
          <xdr:spPr>
            <a:xfrm>
              <a:off x="1487711" y="3314088"/>
              <a:ext cx="1814286" cy="169893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362852</xdr:colOff>
      <xdr:row>18</xdr:row>
      <xdr:rowOff>36281</xdr:rowOff>
    </xdr:from>
    <xdr:to>
      <xdr:col>10</xdr:col>
      <xdr:colOff>485294</xdr:colOff>
      <xdr:row>22</xdr:row>
      <xdr:rowOff>31532</xdr:rowOff>
    </xdr:to>
    <mc:AlternateContent xmlns:mc="http://schemas.openxmlformats.org/markup-compatibility/2006">
      <mc:Choice xmlns:a14="http://schemas.microsoft.com/office/drawing/2010/main" Requires="a14">
        <xdr:graphicFrame macro="">
          <xdr:nvGraphicFramePr>
            <xdr:cNvPr id="3" name="NAMA KELAS">
              <a:extLst>
                <a:ext uri="{FF2B5EF4-FFF2-40B4-BE49-F238E27FC236}">
                  <a16:creationId xmlns:a16="http://schemas.microsoft.com/office/drawing/2014/main" id="{C55255C8-2488-41F5-9E9F-08CEA7E8C42B}"/>
                </a:ext>
              </a:extLst>
            </xdr:cNvPr>
            <xdr:cNvGraphicFramePr/>
          </xdr:nvGraphicFramePr>
          <xdr:xfrm>
            <a:off x="0" y="0"/>
            <a:ext cx="0" cy="0"/>
          </xdr:xfrm>
          <a:graphic>
            <a:graphicData uri="http://schemas.microsoft.com/office/drawing/2010/slicer">
              <sle:slicer xmlns:sle="http://schemas.microsoft.com/office/drawing/2010/slicer" name="NAMA KELAS"/>
            </a:graphicData>
          </a:graphic>
        </xdr:graphicFrame>
      </mc:Choice>
      <mc:Fallback>
        <xdr:sp macro="" textlink="">
          <xdr:nvSpPr>
            <xdr:cNvPr id="0" name=""/>
            <xdr:cNvSpPr>
              <a:spLocks noTextEdit="1"/>
            </xdr:cNvSpPr>
          </xdr:nvSpPr>
          <xdr:spPr>
            <a:xfrm>
              <a:off x="3386662" y="3301995"/>
              <a:ext cx="3146251" cy="7209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362852</xdr:colOff>
      <xdr:row>22</xdr:row>
      <xdr:rowOff>84660</xdr:rowOff>
    </xdr:from>
    <xdr:to>
      <xdr:col>10</xdr:col>
      <xdr:colOff>495900</xdr:colOff>
      <xdr:row>27</xdr:row>
      <xdr:rowOff>108851</xdr:rowOff>
    </xdr:to>
    <mc:AlternateContent xmlns:mc="http://schemas.openxmlformats.org/markup-compatibility/2006">
      <mc:Choice xmlns:a14="http://schemas.microsoft.com/office/drawing/2010/main" Requires="a14">
        <xdr:graphicFrame macro="">
          <xdr:nvGraphicFramePr>
            <xdr:cNvPr id="4" name="STATUS BAGASI">
              <a:extLst>
                <a:ext uri="{FF2B5EF4-FFF2-40B4-BE49-F238E27FC236}">
                  <a16:creationId xmlns:a16="http://schemas.microsoft.com/office/drawing/2014/main" id="{D9A54FEB-F997-4051-8B55-9996ECCBC622}"/>
                </a:ext>
              </a:extLst>
            </xdr:cNvPr>
            <xdr:cNvGraphicFramePr/>
          </xdr:nvGraphicFramePr>
          <xdr:xfrm>
            <a:off x="0" y="0"/>
            <a:ext cx="0" cy="0"/>
          </xdr:xfrm>
          <a:graphic>
            <a:graphicData uri="http://schemas.microsoft.com/office/drawing/2010/slicer">
              <sle:slicer xmlns:sle="http://schemas.microsoft.com/office/drawing/2010/slicer" name="STATUS BAGASI"/>
            </a:graphicData>
          </a:graphic>
        </xdr:graphicFrame>
      </mc:Choice>
      <mc:Fallback>
        <xdr:sp macro="" textlink="">
          <xdr:nvSpPr>
            <xdr:cNvPr id="0" name=""/>
            <xdr:cNvSpPr>
              <a:spLocks noTextEdit="1"/>
            </xdr:cNvSpPr>
          </xdr:nvSpPr>
          <xdr:spPr>
            <a:xfrm>
              <a:off x="3386662" y="4076089"/>
              <a:ext cx="3156857" cy="93133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278186</xdr:colOff>
      <xdr:row>28</xdr:row>
      <xdr:rowOff>60471</xdr:rowOff>
    </xdr:from>
    <xdr:to>
      <xdr:col>10</xdr:col>
      <xdr:colOff>459615</xdr:colOff>
      <xdr:row>43</xdr:row>
      <xdr:rowOff>60471</xdr:rowOff>
    </xdr:to>
    <xdr:graphicFrame macro="">
      <xdr:nvGraphicFramePr>
        <xdr:cNvPr id="5" name="Chart 4">
          <a:extLst>
            <a:ext uri="{FF2B5EF4-FFF2-40B4-BE49-F238E27FC236}">
              <a16:creationId xmlns:a16="http://schemas.microsoft.com/office/drawing/2014/main" id="{6CCAA4A6-4B28-4B1B-BE9B-7DBFA83B6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96766</xdr:colOff>
      <xdr:row>0</xdr:row>
      <xdr:rowOff>145146</xdr:rowOff>
    </xdr:from>
    <xdr:to>
      <xdr:col>23</xdr:col>
      <xdr:colOff>574446</xdr:colOff>
      <xdr:row>22</xdr:row>
      <xdr:rowOff>46181</xdr:rowOff>
    </xdr:to>
    <xdr:graphicFrame macro="">
      <xdr:nvGraphicFramePr>
        <xdr:cNvPr id="6" name="Chart 5">
          <a:extLst>
            <a:ext uri="{FF2B5EF4-FFF2-40B4-BE49-F238E27FC236}">
              <a16:creationId xmlns:a16="http://schemas.microsoft.com/office/drawing/2014/main" id="{EDFB45AB-86BE-4469-BB4D-3721EE7EA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96765</xdr:colOff>
      <xdr:row>23</xdr:row>
      <xdr:rowOff>24194</xdr:rowOff>
    </xdr:from>
    <xdr:to>
      <xdr:col>23</xdr:col>
      <xdr:colOff>568479</xdr:colOff>
      <xdr:row>43</xdr:row>
      <xdr:rowOff>68881</xdr:rowOff>
    </xdr:to>
    <xdr:graphicFrame macro="">
      <xdr:nvGraphicFramePr>
        <xdr:cNvPr id="7" name="Chart 6">
          <a:extLst>
            <a:ext uri="{FF2B5EF4-FFF2-40B4-BE49-F238E27FC236}">
              <a16:creationId xmlns:a16="http://schemas.microsoft.com/office/drawing/2014/main" id="{9459256F-7047-4410-9A60-2A49A7DA3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108854</xdr:colOff>
      <xdr:row>12</xdr:row>
      <xdr:rowOff>96762</xdr:rowOff>
    </xdr:from>
    <xdr:to>
      <xdr:col>4</xdr:col>
      <xdr:colOff>580568</xdr:colOff>
      <xdr:row>17</xdr:row>
      <xdr:rowOff>2</xdr:rowOff>
    </xdr:to>
    <xdr:sp macro="" textlink="'Pivot Table Chart'!$F$4">
      <xdr:nvSpPr>
        <xdr:cNvPr id="8" name="Rectangle: Rounded Corners 7">
          <a:extLst>
            <a:ext uri="{FF2B5EF4-FFF2-40B4-BE49-F238E27FC236}">
              <a16:creationId xmlns:a16="http://schemas.microsoft.com/office/drawing/2014/main" id="{7DB49288-23F8-233B-A5F3-E64D13D3D0DD}"/>
            </a:ext>
          </a:extLst>
        </xdr:cNvPr>
        <xdr:cNvSpPr/>
      </xdr:nvSpPr>
      <xdr:spPr>
        <a:xfrm>
          <a:off x="1318378" y="2273905"/>
          <a:ext cx="1681238" cy="81038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75D1560A-583A-4342-8928-D554723E921E}"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 Rp109.900.000 </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5</xdr:col>
      <xdr:colOff>140302</xdr:colOff>
      <xdr:row>12</xdr:row>
      <xdr:rowOff>104019</xdr:rowOff>
    </xdr:from>
    <xdr:to>
      <xdr:col>8</xdr:col>
      <xdr:colOff>7255</xdr:colOff>
      <xdr:row>17</xdr:row>
      <xdr:rowOff>7259</xdr:rowOff>
    </xdr:to>
    <xdr:sp macro="" textlink="'Pivot Table Chart'!H7">
      <xdr:nvSpPr>
        <xdr:cNvPr id="11" name="Rectangle: Rounded Corners 10">
          <a:extLst>
            <a:ext uri="{FF2B5EF4-FFF2-40B4-BE49-F238E27FC236}">
              <a16:creationId xmlns:a16="http://schemas.microsoft.com/office/drawing/2014/main" id="{11AEE78D-8A25-4BED-BBDE-94EBD843ABA2}"/>
            </a:ext>
          </a:extLst>
        </xdr:cNvPr>
        <xdr:cNvSpPr/>
      </xdr:nvSpPr>
      <xdr:spPr>
        <a:xfrm>
          <a:off x="3164112" y="2281162"/>
          <a:ext cx="1681238" cy="81038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22AA8519-E97D-4053-94B7-E494472B5882}"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t>FIRST CLASS</a:t>
          </a:fld>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8</xdr:col>
      <xdr:colOff>171748</xdr:colOff>
      <xdr:row>12</xdr:row>
      <xdr:rowOff>99180</xdr:rowOff>
    </xdr:from>
    <xdr:to>
      <xdr:col>11</xdr:col>
      <xdr:colOff>38700</xdr:colOff>
      <xdr:row>17</xdr:row>
      <xdr:rowOff>2420</xdr:rowOff>
    </xdr:to>
    <xdr:sp macro="" textlink="'Pivot Table Chart'!$F$12">
      <xdr:nvSpPr>
        <xdr:cNvPr id="13" name="Rectangle: Rounded Corners 12">
          <a:extLst>
            <a:ext uri="{FF2B5EF4-FFF2-40B4-BE49-F238E27FC236}">
              <a16:creationId xmlns:a16="http://schemas.microsoft.com/office/drawing/2014/main" id="{3FC09F65-13D3-4054-8FCB-5B69866CB688}"/>
            </a:ext>
          </a:extLst>
        </xdr:cNvPr>
        <xdr:cNvSpPr/>
      </xdr:nvSpPr>
      <xdr:spPr>
        <a:xfrm>
          <a:off x="5009843" y="2276323"/>
          <a:ext cx="1681238" cy="81038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1D16F188-6A83-4590-BF5A-F1923A5D7F04}"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t>02:06</a:t>
          </a:fld>
          <a:endParaRPr lang="en-US" sz="5400" b="1">
            <a:latin typeface="Times New Roman" panose="02020603050405020304" pitchFamily="18" charset="0"/>
            <a:cs typeface="Times New Roman" panose="02020603050405020304" pitchFamily="18" charset="0"/>
          </a:endParaRPr>
        </a:p>
      </xdr:txBody>
    </xdr:sp>
    <xdr:clientData/>
  </xdr:twoCellAnchor>
  <xdr:twoCellAnchor>
    <xdr:from>
      <xdr:col>2</xdr:col>
      <xdr:colOff>133048</xdr:colOff>
      <xdr:row>9</xdr:row>
      <xdr:rowOff>0</xdr:rowOff>
    </xdr:from>
    <xdr:to>
      <xdr:col>4</xdr:col>
      <xdr:colOff>544286</xdr:colOff>
      <xdr:row>11</xdr:row>
      <xdr:rowOff>181428</xdr:rowOff>
    </xdr:to>
    <xdr:sp macro="" textlink="">
      <xdr:nvSpPr>
        <xdr:cNvPr id="14" name="TextBox 13">
          <a:extLst>
            <a:ext uri="{FF2B5EF4-FFF2-40B4-BE49-F238E27FC236}">
              <a16:creationId xmlns:a16="http://schemas.microsoft.com/office/drawing/2014/main" id="{10C6B542-5D9D-4398-AC2E-B511CFB5E8B4}"/>
            </a:ext>
          </a:extLst>
        </xdr:cNvPr>
        <xdr:cNvSpPr txBox="1"/>
      </xdr:nvSpPr>
      <xdr:spPr>
        <a:xfrm>
          <a:off x="1342572" y="1632857"/>
          <a:ext cx="1620762" cy="544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latin typeface="Times New Roman" panose="02020603050405020304" pitchFamily="18" charset="0"/>
              <a:cs typeface="Times New Roman" panose="02020603050405020304" pitchFamily="18" charset="0"/>
            </a:rPr>
            <a:t>TOTAL BIAYA</a:t>
          </a:r>
        </a:p>
      </xdr:txBody>
    </xdr:sp>
    <xdr:clientData/>
  </xdr:twoCellAnchor>
  <xdr:twoCellAnchor>
    <xdr:from>
      <xdr:col>5</xdr:col>
      <xdr:colOff>140304</xdr:colOff>
      <xdr:row>8</xdr:row>
      <xdr:rowOff>169333</xdr:rowOff>
    </xdr:from>
    <xdr:to>
      <xdr:col>7</xdr:col>
      <xdr:colOff>551543</xdr:colOff>
      <xdr:row>12</xdr:row>
      <xdr:rowOff>19352</xdr:rowOff>
    </xdr:to>
    <xdr:sp macro="" textlink="">
      <xdr:nvSpPr>
        <xdr:cNvPr id="15" name="TextBox 14">
          <a:extLst>
            <a:ext uri="{FF2B5EF4-FFF2-40B4-BE49-F238E27FC236}">
              <a16:creationId xmlns:a16="http://schemas.microsoft.com/office/drawing/2014/main" id="{992094C0-6F2C-4116-ABAC-3521BC606F30}"/>
            </a:ext>
          </a:extLst>
        </xdr:cNvPr>
        <xdr:cNvSpPr txBox="1"/>
      </xdr:nvSpPr>
      <xdr:spPr>
        <a:xfrm>
          <a:off x="3164114" y="1620762"/>
          <a:ext cx="1620762" cy="575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latin typeface="Times New Roman" panose="02020603050405020304" pitchFamily="18" charset="0"/>
              <a:cs typeface="Times New Roman" panose="02020603050405020304" pitchFamily="18" charset="0"/>
            </a:rPr>
            <a:t>KELAS TERLARIS</a:t>
          </a:r>
        </a:p>
      </xdr:txBody>
    </xdr:sp>
    <xdr:clientData/>
  </xdr:twoCellAnchor>
  <xdr:twoCellAnchor>
    <xdr:from>
      <xdr:col>8</xdr:col>
      <xdr:colOff>195943</xdr:colOff>
      <xdr:row>8</xdr:row>
      <xdr:rowOff>164495</xdr:rowOff>
    </xdr:from>
    <xdr:to>
      <xdr:col>11</xdr:col>
      <xdr:colOff>2419</xdr:colOff>
      <xdr:row>12</xdr:row>
      <xdr:rowOff>14514</xdr:rowOff>
    </xdr:to>
    <xdr:sp macro="" textlink="">
      <xdr:nvSpPr>
        <xdr:cNvPr id="16" name="TextBox 15">
          <a:extLst>
            <a:ext uri="{FF2B5EF4-FFF2-40B4-BE49-F238E27FC236}">
              <a16:creationId xmlns:a16="http://schemas.microsoft.com/office/drawing/2014/main" id="{5F02F81B-68D7-47E0-8299-48A6D8E61A9D}"/>
            </a:ext>
          </a:extLst>
        </xdr:cNvPr>
        <xdr:cNvSpPr txBox="1"/>
      </xdr:nvSpPr>
      <xdr:spPr>
        <a:xfrm>
          <a:off x="5034038" y="1615924"/>
          <a:ext cx="1620762" cy="575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latin typeface="Times New Roman" panose="02020603050405020304" pitchFamily="18" charset="0"/>
              <a:cs typeface="Times New Roman" panose="02020603050405020304" pitchFamily="18" charset="0"/>
            </a:rPr>
            <a:t>RATA-RATA DURASI </a:t>
          </a:r>
        </a:p>
      </xdr:txBody>
    </xdr:sp>
    <xdr:clientData/>
  </xdr:twoCellAnchor>
  <xdr:twoCellAnchor>
    <xdr:from>
      <xdr:col>2</xdr:col>
      <xdr:colOff>108856</xdr:colOff>
      <xdr:row>0</xdr:row>
      <xdr:rowOff>31449</xdr:rowOff>
    </xdr:from>
    <xdr:to>
      <xdr:col>11</xdr:col>
      <xdr:colOff>12094</xdr:colOff>
      <xdr:row>8</xdr:row>
      <xdr:rowOff>120952</xdr:rowOff>
    </xdr:to>
    <xdr:sp macro="" textlink="">
      <xdr:nvSpPr>
        <xdr:cNvPr id="17" name="TextBox 16">
          <a:extLst>
            <a:ext uri="{FF2B5EF4-FFF2-40B4-BE49-F238E27FC236}">
              <a16:creationId xmlns:a16="http://schemas.microsoft.com/office/drawing/2014/main" id="{734D5D6A-E115-423A-9966-B0B8444CF654}"/>
            </a:ext>
          </a:extLst>
        </xdr:cNvPr>
        <xdr:cNvSpPr txBox="1"/>
      </xdr:nvSpPr>
      <xdr:spPr>
        <a:xfrm>
          <a:off x="1318380" y="31449"/>
          <a:ext cx="5346095" cy="15409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u="sng">
              <a:latin typeface="Times New Roman" panose="02020603050405020304" pitchFamily="18" charset="0"/>
              <a:cs typeface="Times New Roman" panose="02020603050405020304" pitchFamily="18" charset="0"/>
            </a:rPr>
            <a:t>Airline</a:t>
          </a:r>
          <a:r>
            <a:rPr lang="en-ID" sz="2400" b="1" u="sng" baseline="0">
              <a:latin typeface="Times New Roman" panose="02020603050405020304" pitchFamily="18" charset="0"/>
              <a:cs typeface="Times New Roman" panose="02020603050405020304" pitchFamily="18" charset="0"/>
            </a:rPr>
            <a:t> Revenue &amp; Route Perfomance Dashboard</a:t>
          </a:r>
          <a:endParaRPr lang="en-ID" sz="2400" b="1" u="sng">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ffa azhari" refreshedDate="46032.776739120367" createdVersion="8" refreshedVersion="8" minRefreshableVersion="3" recordCount="50" xr:uid="{E55DA883-0FFE-4D71-886B-5BC4F0EFFA21}">
  <cacheSource type="worksheet">
    <worksheetSource ref="A5:Q55" sheet="Jawaban"/>
  </cacheSource>
  <cacheFields count="17">
    <cacheField name="NO" numFmtId="0">
      <sharedItems containsSemiMixedTypes="0" containsString="0" containsNumber="1" containsInteger="1" minValue="1" maxValue="50"/>
    </cacheField>
    <cacheField name="KODE TIKET" numFmtId="0">
      <sharedItems/>
    </cacheField>
    <cacheField name="NAMA PENUMPANG" numFmtId="0">
      <sharedItems/>
    </cacheField>
    <cacheField name="TANGGAL TERBANG" numFmtId="14">
      <sharedItems containsSemiMixedTypes="0" containsNonDate="0" containsDate="1" containsString="0" minDate="2026-01-01T00:00:00" maxDate="2026-02-01T00:00:00"/>
    </cacheField>
    <cacheField name="BERAT BAGASI_x000a_(Kg)" numFmtId="0">
      <sharedItems containsSemiMixedTypes="0" containsString="0" containsNumber="1" containsInteger="1" minValue="14" maxValue="40"/>
    </cacheField>
    <cacheField name="RUTE" numFmtId="0">
      <sharedItems count="5">
        <s v="Jakarta – Bali"/>
        <s v="Jakarta – Surabaya"/>
        <s v="Jakarta – Medan"/>
        <s v="Jakarta – Makassar"/>
        <s v="Jakarta – Lombok"/>
      </sharedItems>
    </cacheField>
    <cacheField name="JAM BERANGKAT" numFmtId="165">
      <sharedItems containsSemiMixedTypes="0" containsNonDate="0" containsDate="1" containsString="0" minDate="1899-12-30T06:00:00" maxDate="1899-12-30T10:00:00"/>
    </cacheField>
    <cacheField name="JAM TIBA" numFmtId="165">
      <sharedItems containsSemiMixedTypes="0" containsNonDate="0" containsDate="1" containsString="0" minDate="1899-12-30T08:00:00" maxDate="1899-12-30T12:00:00"/>
    </cacheField>
    <cacheField name="DURASI" numFmtId="165">
      <sharedItems containsSemiMixedTypes="0" containsNonDate="0" containsDate="1" containsString="0" minDate="1899-12-30T01:30:00" maxDate="1899-12-30T02:30:00"/>
    </cacheField>
    <cacheField name="HARGA DASAR" numFmtId="166">
      <sharedItems containsSemiMixedTypes="0" containsString="0" containsNumber="1" containsInteger="1" minValue="900000" maxValue="1800000"/>
    </cacheField>
    <cacheField name="NAMA KELAS" numFmtId="0">
      <sharedItems count="3">
        <s v="E"/>
        <s v="B"/>
        <s v="F"/>
      </sharedItems>
    </cacheField>
    <cacheField name="FAKTOR HARGA" numFmtId="0">
      <sharedItems containsSemiMixedTypes="0" containsString="0" containsNumber="1" minValue="1" maxValue="2"/>
    </cacheField>
    <cacheField name="HARGA TIKET KELAS" numFmtId="166">
      <sharedItems containsSemiMixedTypes="0" containsString="0" containsNumber="1" containsInteger="1" minValue="900000" maxValue="3600000"/>
    </cacheField>
    <cacheField name="TARIF BAGASI TAMBAHAN" numFmtId="0">
      <sharedItems/>
    </cacheField>
    <cacheField name="TOTAL BIAYA" numFmtId="166">
      <sharedItems containsSemiMixedTypes="0" containsString="0" containsNumber="1" containsInteger="1" minValue="900000" maxValue="4400000"/>
    </cacheField>
    <cacheField name="STATUS BAGASI" numFmtId="0">
      <sharedItems count="2">
        <s v="Gratis"/>
        <s v="-"/>
      </sharedItems>
    </cacheField>
    <cacheField name="STATUS JARAK" numFmtId="0">
      <sharedItems count="2">
        <s v="Jarak Jauh"/>
        <s v="Jarak Dekat"/>
      </sharedItems>
    </cacheField>
  </cacheFields>
  <extLst>
    <ext xmlns:x14="http://schemas.microsoft.com/office/spreadsheetml/2009/9/main" uri="{725AE2AE-9491-48be-B2B4-4EB974FC3084}">
      <x14:pivotCacheDefinition pivotCacheId="350635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BK001-NA101-E"/>
    <s v="LOKA WIRANTA"/>
    <d v="2026-01-01T00:00:00"/>
    <n v="18"/>
    <x v="0"/>
    <d v="1899-12-30T06:00:00"/>
    <d v="1899-12-30T08:00:00"/>
    <d v="1899-12-30T02:00:00"/>
    <n v="1200000"/>
    <x v="0"/>
    <n v="1"/>
    <n v="1200000"/>
    <s v="0"/>
    <n v="1200000"/>
    <x v="0"/>
    <x v="0"/>
  </r>
  <r>
    <n v="2"/>
    <s v="BK002-NA102-B"/>
    <s v="HANA LIN"/>
    <d v="2026-01-01T00:00:00"/>
    <n v="22"/>
    <x v="1"/>
    <d v="1899-12-30T07:30:00"/>
    <d v="1899-12-30T09:00:00"/>
    <d v="1899-12-30T01:30:00"/>
    <n v="900000"/>
    <x v="1"/>
    <n v="1.5"/>
    <n v="1350000"/>
    <s v="0"/>
    <n v="1350000"/>
    <x v="1"/>
    <x v="1"/>
  </r>
  <r>
    <n v="3"/>
    <s v="BK003-NA103-E"/>
    <s v="SANITA VELORA"/>
    <d v="2026-01-02T00:00:00"/>
    <n v="20"/>
    <x v="2"/>
    <d v="1899-12-30T08:00:00"/>
    <d v="1899-12-30T10:30:00"/>
    <d v="1899-12-30T02:30:00"/>
    <n v="1500000"/>
    <x v="0"/>
    <n v="1"/>
    <n v="1500000"/>
    <s v="0"/>
    <n v="1500000"/>
    <x v="0"/>
    <x v="0"/>
  </r>
  <r>
    <n v="4"/>
    <s v="BK004-NA104-F"/>
    <s v="VANYA RUSELINA"/>
    <d v="2026-01-02T00:00:00"/>
    <n v="30"/>
    <x v="3"/>
    <d v="1899-12-30T09:00:00"/>
    <d v="1899-12-30T11:30:00"/>
    <d v="1899-12-30T02:30:00"/>
    <n v="1800000"/>
    <x v="2"/>
    <n v="2"/>
    <n v="3600000"/>
    <s v="300000"/>
    <n v="3900000"/>
    <x v="1"/>
    <x v="0"/>
  </r>
  <r>
    <n v="5"/>
    <s v="BK005-NA105-B"/>
    <s v="REZA TARMOKO"/>
    <d v="2026-01-03T00:00:00"/>
    <n v="27"/>
    <x v="4"/>
    <d v="1899-12-30T10:00:00"/>
    <d v="1899-12-30T12:00:00"/>
    <d v="1899-12-30T02:00:00"/>
    <n v="1300000"/>
    <x v="1"/>
    <n v="1.5"/>
    <n v="1950000"/>
    <s v="150000"/>
    <n v="2100000"/>
    <x v="1"/>
    <x v="0"/>
  </r>
  <r>
    <n v="6"/>
    <s v="BK006-NA101-E"/>
    <s v="DARGO MAWESTA"/>
    <d v="2026-01-03T00:00:00"/>
    <n v="15"/>
    <x v="0"/>
    <d v="1899-12-30T06:00:00"/>
    <d v="1899-12-30T08:00:00"/>
    <d v="1899-12-30T02:00:00"/>
    <n v="1200000"/>
    <x v="0"/>
    <n v="1"/>
    <n v="1200000"/>
    <s v="0"/>
    <n v="1200000"/>
    <x v="0"/>
    <x v="0"/>
  </r>
  <r>
    <n v="7"/>
    <s v="BK007-NA102-F"/>
    <s v="TISYA AVENDRA"/>
    <d v="2026-01-04T00:00:00"/>
    <n v="35"/>
    <x v="1"/>
    <d v="1899-12-30T07:30:00"/>
    <d v="1899-12-30T09:00:00"/>
    <d v="1899-12-30T01:30:00"/>
    <n v="900000"/>
    <x v="2"/>
    <n v="2"/>
    <n v="1800000"/>
    <s v="500000"/>
    <n v="2300000"/>
    <x v="1"/>
    <x v="1"/>
  </r>
  <r>
    <n v="8"/>
    <s v="BK008-NA103-E"/>
    <s v="KARYO LIMANTARA"/>
    <d v="2026-01-04T00:00:00"/>
    <n v="21"/>
    <x v="2"/>
    <d v="1899-12-30T08:00:00"/>
    <d v="1899-12-30T10:30:00"/>
    <d v="1899-12-30T02:30:00"/>
    <n v="1500000"/>
    <x v="0"/>
    <n v="1"/>
    <n v="1500000"/>
    <s v="0"/>
    <n v="1500000"/>
    <x v="1"/>
    <x v="0"/>
  </r>
  <r>
    <n v="9"/>
    <s v="BK009-NA104-B"/>
    <s v="JEFRO MALANTARA"/>
    <d v="2026-01-05T00:00:00"/>
    <n v="25"/>
    <x v="3"/>
    <d v="1899-12-30T09:00:00"/>
    <d v="1899-12-30T11:30:00"/>
    <d v="1899-12-30T02:30:00"/>
    <n v="1800000"/>
    <x v="1"/>
    <n v="1.5"/>
    <n v="2700000"/>
    <s v="150000"/>
    <n v="2850000"/>
    <x v="1"/>
    <x v="0"/>
  </r>
  <r>
    <n v="10"/>
    <s v="BK010-NA105-F"/>
    <s v="BINAR KENDARTA"/>
    <d v="2026-01-05T00:00:00"/>
    <n v="40"/>
    <x v="4"/>
    <d v="1899-12-30T10:00:00"/>
    <d v="1899-12-30T12:00:00"/>
    <d v="1899-12-30T02:00:00"/>
    <n v="1300000"/>
    <x v="2"/>
    <n v="2"/>
    <n v="2600000"/>
    <s v="800000"/>
    <n v="3400000"/>
    <x v="1"/>
    <x v="0"/>
  </r>
  <r>
    <n v="11"/>
    <s v="BK011-NA101-E"/>
    <s v="CHIKA YURESTA"/>
    <d v="2026-01-06T00:00:00"/>
    <n v="19"/>
    <x v="0"/>
    <d v="1899-12-30T06:00:00"/>
    <d v="1899-12-30T08:00:00"/>
    <d v="1899-12-30T02:00:00"/>
    <n v="1200000"/>
    <x v="0"/>
    <n v="1"/>
    <n v="1200000"/>
    <s v="0"/>
    <n v="1200000"/>
    <x v="0"/>
    <x v="0"/>
  </r>
  <r>
    <n v="12"/>
    <s v="BK012-NA102-B"/>
    <s v="MEI ZHANG"/>
    <d v="2026-01-06T00:00:00"/>
    <n v="28"/>
    <x v="1"/>
    <d v="1899-12-30T07:30:00"/>
    <d v="1899-12-30T09:00:00"/>
    <d v="1899-12-30T01:30:00"/>
    <n v="900000"/>
    <x v="1"/>
    <n v="1.5"/>
    <n v="1350000"/>
    <s v="150000"/>
    <n v="1500000"/>
    <x v="1"/>
    <x v="1"/>
  </r>
  <r>
    <n v="13"/>
    <s v="BK013-NA103-F"/>
    <s v="LIU SHISHI"/>
    <d v="2026-01-07T00:00:00"/>
    <n v="33"/>
    <x v="2"/>
    <d v="1899-12-30T08:00:00"/>
    <d v="1899-12-30T10:30:00"/>
    <d v="1899-12-30T02:30:00"/>
    <n v="1500000"/>
    <x v="2"/>
    <n v="2"/>
    <n v="3000000"/>
    <s v="300000"/>
    <n v="3300000"/>
    <x v="1"/>
    <x v="0"/>
  </r>
  <r>
    <n v="14"/>
    <s v="BK014-NA104-E"/>
    <s v="ZHANG ROUNAN"/>
    <d v="2026-01-07T00:00:00"/>
    <n v="20"/>
    <x v="3"/>
    <d v="1899-12-30T09:00:00"/>
    <d v="1899-12-30T11:30:00"/>
    <d v="1899-12-30T02:30:00"/>
    <n v="1800000"/>
    <x v="0"/>
    <n v="1"/>
    <n v="1800000"/>
    <s v="0"/>
    <n v="1800000"/>
    <x v="0"/>
    <x v="0"/>
  </r>
  <r>
    <n v="15"/>
    <s v="BK015-NA105-B"/>
    <s v="SONG ZUER"/>
    <d v="2026-01-08T00:00:00"/>
    <n v="24"/>
    <x v="4"/>
    <d v="1899-12-30T10:00:00"/>
    <d v="1899-12-30T12:00:00"/>
    <d v="1899-12-30T02:00:00"/>
    <n v="1300000"/>
    <x v="1"/>
    <n v="1.5"/>
    <n v="1950000"/>
    <s v="0"/>
    <n v="1950000"/>
    <x v="1"/>
    <x v="0"/>
  </r>
  <r>
    <n v="16"/>
    <s v="BK016-NA101-F"/>
    <s v="VARO GHANTIRA"/>
    <d v="2026-01-08T00:00:00"/>
    <n v="36"/>
    <x v="0"/>
    <d v="1899-12-30T06:00:00"/>
    <d v="1899-12-30T08:00:00"/>
    <d v="1899-12-30T02:00:00"/>
    <n v="1200000"/>
    <x v="2"/>
    <n v="2"/>
    <n v="2400000"/>
    <s v="500000"/>
    <n v="2900000"/>
    <x v="1"/>
    <x v="0"/>
  </r>
  <r>
    <n v="17"/>
    <s v="BK017-NA102-E"/>
    <s v="ZHANG YUNLONG"/>
    <d v="2026-01-09T00:00:00"/>
    <n v="18"/>
    <x v="1"/>
    <d v="1899-12-30T07:30:00"/>
    <d v="1899-12-30T09:00:00"/>
    <d v="1899-12-30T01:30:00"/>
    <n v="900000"/>
    <x v="0"/>
    <n v="1"/>
    <n v="900000"/>
    <s v="0"/>
    <n v="900000"/>
    <x v="0"/>
    <x v="1"/>
  </r>
  <r>
    <n v="18"/>
    <s v="BK018-NA103-B"/>
    <s v="BAI JINTING"/>
    <d v="2026-01-09T00:00:00"/>
    <n v="29"/>
    <x v="2"/>
    <d v="1899-12-30T08:00:00"/>
    <d v="1899-12-30T10:30:00"/>
    <d v="1899-12-30T02:30:00"/>
    <n v="1500000"/>
    <x v="1"/>
    <n v="1.5"/>
    <n v="2250000"/>
    <s v="150000"/>
    <n v="2400000"/>
    <x v="1"/>
    <x v="0"/>
  </r>
  <r>
    <n v="19"/>
    <s v="BK019-NA104-F"/>
    <s v="LIU YUNING"/>
    <d v="2026-01-10T00:00:00"/>
    <n v="40"/>
    <x v="3"/>
    <d v="1899-12-30T09:00:00"/>
    <d v="1899-12-30T11:30:00"/>
    <d v="1899-12-30T02:30:00"/>
    <n v="1800000"/>
    <x v="2"/>
    <n v="2"/>
    <n v="3600000"/>
    <s v="800000"/>
    <n v="4400000"/>
    <x v="1"/>
    <x v="0"/>
  </r>
  <r>
    <n v="20"/>
    <s v="BK020-NA105-E"/>
    <s v="SELVI MAHARENTIYA"/>
    <d v="2026-01-10T00:00:00"/>
    <n v="16"/>
    <x v="4"/>
    <d v="1899-12-30T10:00:00"/>
    <d v="1899-12-30T12:00:00"/>
    <d v="1899-12-30T02:00:00"/>
    <n v="1300000"/>
    <x v="0"/>
    <n v="1"/>
    <n v="1300000"/>
    <s v="0"/>
    <n v="1300000"/>
    <x v="0"/>
    <x v="0"/>
  </r>
  <r>
    <n v="21"/>
    <s v="BK021-NA101-B"/>
    <s v="ETHAN CHALLISTER"/>
    <d v="2026-01-11T00:00:00"/>
    <n v="26"/>
    <x v="0"/>
    <d v="1899-12-30T06:00:00"/>
    <d v="1899-12-30T08:00:00"/>
    <d v="1899-12-30T02:00:00"/>
    <n v="1200000"/>
    <x v="1"/>
    <n v="1.5"/>
    <n v="1800000"/>
    <s v="150000"/>
    <n v="1950000"/>
    <x v="1"/>
    <x v="0"/>
  </r>
  <r>
    <n v="22"/>
    <s v="BK022-NA102-F"/>
    <s v="DENO ABHYAKA"/>
    <d v="2026-01-11T00:00:00"/>
    <n v="34"/>
    <x v="1"/>
    <d v="1899-12-30T07:30:00"/>
    <d v="1899-12-30T09:00:00"/>
    <d v="1899-12-30T01:30:00"/>
    <n v="900000"/>
    <x v="2"/>
    <n v="2"/>
    <n v="1800000"/>
    <s v="300000"/>
    <n v="2100000"/>
    <x v="1"/>
    <x v="1"/>
  </r>
  <r>
    <n v="23"/>
    <s v="BK023-NA103-E"/>
    <s v="LINDA SERWASTI"/>
    <d v="2026-01-12T00:00:00"/>
    <n v="20"/>
    <x v="2"/>
    <d v="1899-12-30T08:00:00"/>
    <d v="1899-12-30T10:30:00"/>
    <d v="1899-12-30T02:30:00"/>
    <n v="1500000"/>
    <x v="0"/>
    <n v="1"/>
    <n v="1500000"/>
    <s v="0"/>
    <n v="1500000"/>
    <x v="0"/>
    <x v="0"/>
  </r>
  <r>
    <n v="24"/>
    <s v="BK024-NA104-B"/>
    <s v="CALVIN TRASMOKO"/>
    <d v="2026-01-12T00:00:00"/>
    <n v="27"/>
    <x v="3"/>
    <d v="1899-12-30T09:00:00"/>
    <d v="1899-12-30T11:30:00"/>
    <d v="1899-12-30T02:30:00"/>
    <n v="1800000"/>
    <x v="1"/>
    <n v="1.5"/>
    <n v="2700000"/>
    <s v="150000"/>
    <n v="2850000"/>
    <x v="1"/>
    <x v="0"/>
  </r>
  <r>
    <n v="25"/>
    <s v="BK025-NA105-F"/>
    <s v="YAVITA ORLENZA"/>
    <d v="2026-01-13T00:00:00"/>
    <n v="38"/>
    <x v="4"/>
    <d v="1899-12-30T10:00:00"/>
    <d v="1899-12-30T12:00:00"/>
    <d v="1899-12-30T02:00:00"/>
    <n v="1300000"/>
    <x v="2"/>
    <n v="2"/>
    <n v="2600000"/>
    <s v="500000"/>
    <n v="3100000"/>
    <x v="1"/>
    <x v="0"/>
  </r>
  <r>
    <n v="26"/>
    <s v="BK026-NA101-E"/>
    <s v="GALAN MERDANA"/>
    <d v="2026-01-14T00:00:00"/>
    <n v="14"/>
    <x v="0"/>
    <d v="1899-12-30T06:00:00"/>
    <d v="1899-12-30T08:00:00"/>
    <d v="1899-12-30T02:00:00"/>
    <n v="1200000"/>
    <x v="0"/>
    <n v="1"/>
    <n v="1200000"/>
    <s v="0"/>
    <n v="1200000"/>
    <x v="0"/>
    <x v="0"/>
  </r>
  <r>
    <n v="27"/>
    <s v="BK027-NA102-B"/>
    <s v="SYIFA ANTAVERA"/>
    <d v="2026-01-14T00:00:00"/>
    <n v="25"/>
    <x v="1"/>
    <d v="1899-12-30T07:30:00"/>
    <d v="1899-12-30T09:00:00"/>
    <d v="1899-12-30T01:30:00"/>
    <n v="900000"/>
    <x v="1"/>
    <n v="1.5"/>
    <n v="1350000"/>
    <s v="150000"/>
    <n v="1500000"/>
    <x v="1"/>
    <x v="1"/>
  </r>
  <r>
    <n v="28"/>
    <s v="BK028-NA103-F"/>
    <s v="NIRA ZALINDRA"/>
    <d v="2026-01-15T00:00:00"/>
    <n v="30"/>
    <x v="2"/>
    <d v="1899-12-30T08:00:00"/>
    <d v="1899-12-30T10:30:00"/>
    <d v="1899-12-30T02:30:00"/>
    <n v="1500000"/>
    <x v="2"/>
    <n v="2"/>
    <n v="3000000"/>
    <s v="300000"/>
    <n v="3300000"/>
    <x v="1"/>
    <x v="0"/>
  </r>
  <r>
    <n v="29"/>
    <s v="BK029-NA104-E"/>
    <s v="LIAM HARGROVE"/>
    <d v="2026-01-15T00:00:00"/>
    <n v="19"/>
    <x v="3"/>
    <d v="1899-12-30T09:00:00"/>
    <d v="1899-12-30T11:30:00"/>
    <d v="1899-12-30T02:30:00"/>
    <n v="1800000"/>
    <x v="0"/>
    <n v="1"/>
    <n v="1800000"/>
    <s v="0"/>
    <n v="1800000"/>
    <x v="0"/>
    <x v="0"/>
  </r>
  <r>
    <n v="30"/>
    <s v="BK030-NA105-B"/>
    <s v="YICHEN LUO"/>
    <d v="2026-01-16T00:00:00"/>
    <n v="28"/>
    <x v="4"/>
    <d v="1899-12-30T10:00:00"/>
    <d v="1899-12-30T12:00:00"/>
    <d v="1899-12-30T02:00:00"/>
    <n v="1300000"/>
    <x v="1"/>
    <n v="1.5"/>
    <n v="1950000"/>
    <s v="150000"/>
    <n v="2100000"/>
    <x v="1"/>
    <x v="0"/>
  </r>
  <r>
    <n v="31"/>
    <s v="BK031-NA101-F"/>
    <s v="CHENG XIAO"/>
    <d v="2026-01-16T00:00:00"/>
    <n v="40"/>
    <x v="0"/>
    <d v="1899-12-30T06:00:00"/>
    <d v="1899-12-30T08:00:00"/>
    <d v="1899-12-30T02:00:00"/>
    <n v="1200000"/>
    <x v="2"/>
    <n v="2"/>
    <n v="2400000"/>
    <s v="800000"/>
    <n v="3200000"/>
    <x v="1"/>
    <x v="0"/>
  </r>
  <r>
    <n v="32"/>
    <s v="BK032-NA102-E"/>
    <s v="XU KAI"/>
    <d v="2026-01-17T00:00:00"/>
    <n v="17"/>
    <x v="1"/>
    <d v="1899-12-30T07:30:00"/>
    <d v="1899-12-30T09:00:00"/>
    <d v="1899-12-30T01:30:00"/>
    <n v="900000"/>
    <x v="0"/>
    <n v="1"/>
    <n v="900000"/>
    <s v="0"/>
    <n v="900000"/>
    <x v="0"/>
    <x v="1"/>
  </r>
  <r>
    <n v="33"/>
    <s v="BK033-NA103-B"/>
    <s v="SONG WEI LONG"/>
    <d v="2026-01-17T00:00:00"/>
    <n v="26"/>
    <x v="2"/>
    <d v="1899-12-30T08:00:00"/>
    <d v="1899-12-30T10:30:00"/>
    <d v="1899-12-30T02:30:00"/>
    <n v="1500000"/>
    <x v="1"/>
    <n v="1.5"/>
    <n v="2250000"/>
    <s v="150000"/>
    <n v="2400000"/>
    <x v="1"/>
    <x v="0"/>
  </r>
  <r>
    <n v="34"/>
    <s v="BK034-NA104-F"/>
    <s v="PUTRI MAWESTI"/>
    <d v="2026-01-18T00:00:00"/>
    <n v="35"/>
    <x v="3"/>
    <d v="1899-12-30T09:00:00"/>
    <d v="1899-12-30T11:30:00"/>
    <d v="1899-12-30T02:30:00"/>
    <n v="1800000"/>
    <x v="2"/>
    <n v="2"/>
    <n v="3600000"/>
    <s v="500000"/>
    <n v="4100000"/>
    <x v="1"/>
    <x v="0"/>
  </r>
  <r>
    <n v="35"/>
    <s v="BK035-NA105-E"/>
    <s v="MAWAR INDAH"/>
    <d v="2026-01-18T00:00:00"/>
    <n v="20"/>
    <x v="4"/>
    <d v="1899-12-30T10:00:00"/>
    <d v="1899-12-30T12:00:00"/>
    <d v="1899-12-30T02:00:00"/>
    <n v="1300000"/>
    <x v="0"/>
    <n v="1"/>
    <n v="1300000"/>
    <s v="0"/>
    <n v="1300000"/>
    <x v="0"/>
    <x v="0"/>
  </r>
  <r>
    <n v="36"/>
    <s v="BK036-NA101-B"/>
    <s v="MALVIN SUHENDAR"/>
    <d v="2026-01-19T00:00:00"/>
    <n v="24"/>
    <x v="0"/>
    <d v="1899-12-30T06:00:00"/>
    <d v="1899-12-30T08:00:00"/>
    <d v="1899-12-30T02:00:00"/>
    <n v="1200000"/>
    <x v="1"/>
    <n v="1.5"/>
    <n v="1800000"/>
    <s v="0"/>
    <n v="1800000"/>
    <x v="1"/>
    <x v="0"/>
  </r>
  <r>
    <n v="37"/>
    <s v="BK037-NA102-F"/>
    <s v="PINUTIAMI"/>
    <d v="2026-01-19T00:00:00"/>
    <n v="32"/>
    <x v="1"/>
    <d v="1899-12-30T07:30:00"/>
    <d v="1899-12-30T09:00:00"/>
    <d v="1899-12-30T01:30:00"/>
    <n v="900000"/>
    <x v="2"/>
    <n v="2"/>
    <n v="1800000"/>
    <s v="300000"/>
    <n v="2100000"/>
    <x v="1"/>
    <x v="1"/>
  </r>
  <r>
    <n v="38"/>
    <s v="BK038-NA103-E"/>
    <s v="NASWENDA"/>
    <d v="2026-01-20T00:00:00"/>
    <n v="18"/>
    <x v="2"/>
    <d v="1899-12-30T08:00:00"/>
    <d v="1899-12-30T10:30:00"/>
    <d v="1899-12-30T02:30:00"/>
    <n v="1500000"/>
    <x v="0"/>
    <n v="1"/>
    <n v="1500000"/>
    <s v="0"/>
    <n v="1500000"/>
    <x v="0"/>
    <x v="0"/>
  </r>
  <r>
    <n v="39"/>
    <s v="BK039-NA104-B"/>
    <s v="KUMALA INTAN"/>
    <d v="2026-01-20T00:00:00"/>
    <n v="29"/>
    <x v="3"/>
    <d v="1899-12-30T09:00:00"/>
    <d v="1899-12-30T11:30:00"/>
    <d v="1899-12-30T02:30:00"/>
    <n v="1800000"/>
    <x v="1"/>
    <n v="1.5"/>
    <n v="2700000"/>
    <s v="150000"/>
    <n v="2850000"/>
    <x v="1"/>
    <x v="0"/>
  </r>
  <r>
    <n v="40"/>
    <s v="BK040-NA105-F"/>
    <s v="WANG ANYU"/>
    <d v="2026-01-21T00:00:00"/>
    <n v="40"/>
    <x v="4"/>
    <d v="1899-12-30T10:00:00"/>
    <d v="1899-12-30T12:00:00"/>
    <d v="1899-12-30T02:00:00"/>
    <n v="1300000"/>
    <x v="2"/>
    <n v="2"/>
    <n v="2600000"/>
    <s v="800000"/>
    <n v="3400000"/>
    <x v="1"/>
    <x v="0"/>
  </r>
  <r>
    <n v="41"/>
    <s v="BK041-NA101-E"/>
    <s v="JU JINGYI"/>
    <d v="2026-01-22T00:00:00"/>
    <n v="15"/>
    <x v="0"/>
    <d v="1899-12-30T06:00:00"/>
    <d v="1899-12-30T08:00:00"/>
    <d v="1899-12-30T02:00:00"/>
    <n v="1200000"/>
    <x v="0"/>
    <n v="1"/>
    <n v="1200000"/>
    <s v="0"/>
    <n v="1200000"/>
    <x v="0"/>
    <x v="0"/>
  </r>
  <r>
    <n v="42"/>
    <s v="BK042-NA102-B"/>
    <s v="CHEN DULIN"/>
    <d v="2026-01-23T00:00:00"/>
    <n v="27"/>
    <x v="1"/>
    <d v="1899-12-30T07:30:00"/>
    <d v="1899-12-30T09:00:00"/>
    <d v="1899-12-30T01:30:00"/>
    <n v="900000"/>
    <x v="1"/>
    <n v="1.5"/>
    <n v="1350000"/>
    <s v="150000"/>
    <n v="1500000"/>
    <x v="1"/>
    <x v="1"/>
  </r>
  <r>
    <n v="43"/>
    <s v="BK043-NA103-F"/>
    <s v="HOU NEO"/>
    <d v="2026-01-24T00:00:00"/>
    <n v="35"/>
    <x v="2"/>
    <d v="1899-12-30T08:00:00"/>
    <d v="1899-12-30T10:30:00"/>
    <d v="1899-12-30T02:30:00"/>
    <n v="1500000"/>
    <x v="2"/>
    <n v="2"/>
    <n v="3000000"/>
    <s v="500000"/>
    <n v="3500000"/>
    <x v="1"/>
    <x v="0"/>
  </r>
  <r>
    <n v="44"/>
    <s v="BK044-NA104-E"/>
    <s v="ZHANG LIEHE"/>
    <d v="2026-01-25T00:00:00"/>
    <n v="20"/>
    <x v="3"/>
    <d v="1899-12-30T09:00:00"/>
    <d v="1899-12-30T11:30:00"/>
    <d v="1899-12-30T02:30:00"/>
    <n v="1800000"/>
    <x v="0"/>
    <n v="1"/>
    <n v="1800000"/>
    <s v="0"/>
    <n v="1800000"/>
    <x v="0"/>
    <x v="0"/>
  </r>
  <r>
    <n v="45"/>
    <s v="BK045-NA105-B"/>
    <s v="DILRABA"/>
    <d v="2026-01-26T00:00:00"/>
    <n v="25"/>
    <x v="4"/>
    <d v="1899-12-30T10:00:00"/>
    <d v="1899-12-30T12:00:00"/>
    <d v="1899-12-30T02:00:00"/>
    <n v="1300000"/>
    <x v="1"/>
    <n v="1.5"/>
    <n v="1950000"/>
    <s v="150000"/>
    <n v="2100000"/>
    <x v="1"/>
    <x v="0"/>
  </r>
  <r>
    <n v="46"/>
    <s v="BK046-NA101-F"/>
    <s v="MOUNTIEANI"/>
    <d v="2026-01-27T00:00:00"/>
    <n v="38"/>
    <x v="0"/>
    <d v="1899-12-30T06:00:00"/>
    <d v="1899-12-30T08:00:00"/>
    <d v="1899-12-30T02:00:00"/>
    <n v="1200000"/>
    <x v="2"/>
    <n v="2"/>
    <n v="2400000"/>
    <s v="500000"/>
    <n v="2900000"/>
    <x v="1"/>
    <x v="0"/>
  </r>
  <r>
    <n v="47"/>
    <s v="BK047-NA102-E"/>
    <s v="DINASWARA"/>
    <d v="2026-01-28T00:00:00"/>
    <n v="19"/>
    <x v="1"/>
    <d v="1899-12-30T07:30:00"/>
    <d v="1899-12-30T09:00:00"/>
    <d v="1899-12-30T01:30:00"/>
    <n v="900000"/>
    <x v="0"/>
    <n v="1"/>
    <n v="900000"/>
    <s v="0"/>
    <n v="900000"/>
    <x v="0"/>
    <x v="1"/>
  </r>
  <r>
    <n v="48"/>
    <s v="BK048-NA103-B"/>
    <s v="TIAN XIWEI"/>
    <d v="2026-01-29T00:00:00"/>
    <n v="28"/>
    <x v="2"/>
    <d v="1899-12-30T08:00:00"/>
    <d v="1899-12-30T10:30:00"/>
    <d v="1899-12-30T02:30:00"/>
    <n v="1500000"/>
    <x v="1"/>
    <n v="1.5"/>
    <n v="2250000"/>
    <s v="150000"/>
    <n v="2400000"/>
    <x v="1"/>
    <x v="0"/>
  </r>
  <r>
    <n v="49"/>
    <s v="BK049-NA104-F"/>
    <s v="LI QIN"/>
    <d v="2026-01-30T00:00:00"/>
    <n v="40"/>
    <x v="3"/>
    <d v="1899-12-30T09:00:00"/>
    <d v="1899-12-30T11:30:00"/>
    <d v="1899-12-30T02:30:00"/>
    <n v="1800000"/>
    <x v="2"/>
    <n v="2"/>
    <n v="3600000"/>
    <s v="800000"/>
    <n v="4400000"/>
    <x v="1"/>
    <x v="0"/>
  </r>
  <r>
    <n v="50"/>
    <s v="BK050-NA105-E"/>
    <s v="ZHANG BICHEN"/>
    <d v="2026-01-31T00:00:00"/>
    <n v="16"/>
    <x v="4"/>
    <d v="1899-12-30T10:00:00"/>
    <d v="1899-12-30T12:00:00"/>
    <d v="1899-12-30T02:00:00"/>
    <n v="1300000"/>
    <x v="0"/>
    <n v="1"/>
    <n v="1300000"/>
    <s v="0"/>
    <n v="130000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7CCC2B-E86B-42A5-BF48-1359AF4148A5}"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F12" firstHeaderRow="1" firstDataRow="1" firstDataCol="0"/>
  <pivotFields count="17">
    <pivotField showAll="0"/>
    <pivotField showAll="0"/>
    <pivotField showAll="0"/>
    <pivotField numFmtId="14" showAll="0"/>
    <pivotField showAll="0"/>
    <pivotField showAll="0">
      <items count="6">
        <item x="0"/>
        <item x="4"/>
        <item x="3"/>
        <item x="2"/>
        <item x="1"/>
        <item t="default"/>
      </items>
    </pivotField>
    <pivotField numFmtId="165" showAll="0"/>
    <pivotField numFmtId="165" showAll="0"/>
    <pivotField dataField="1" numFmtId="165" showAll="0"/>
    <pivotField numFmtId="166" showAll="0"/>
    <pivotField showAll="0">
      <items count="4">
        <item x="1"/>
        <item x="0"/>
        <item x="2"/>
        <item t="default"/>
      </items>
    </pivotField>
    <pivotField showAll="0"/>
    <pivotField numFmtId="166" showAll="0"/>
    <pivotField showAll="0"/>
    <pivotField numFmtId="166" showAll="0"/>
    <pivotField showAll="0">
      <items count="3">
        <item x="1"/>
        <item x="0"/>
        <item t="default"/>
      </items>
    </pivotField>
    <pivotField showAll="0"/>
  </pivotFields>
  <rowItems count="1">
    <i/>
  </rowItems>
  <colItems count="1">
    <i/>
  </colItems>
  <dataFields count="1">
    <dataField name="Average of DURASI" fld="8"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AED88A-6582-43F0-910E-D77E4B825C5F}"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6:G9" firstHeaderRow="1" firstDataRow="1" firstDataCol="1"/>
  <pivotFields count="17">
    <pivotField showAll="0"/>
    <pivotField showAll="0"/>
    <pivotField showAll="0"/>
    <pivotField numFmtId="14" showAll="0"/>
    <pivotField showAll="0"/>
    <pivotField showAll="0">
      <items count="6">
        <item x="0"/>
        <item x="4"/>
        <item x="3"/>
        <item x="2"/>
        <item x="1"/>
        <item t="default"/>
      </items>
    </pivotField>
    <pivotField numFmtId="165" showAll="0"/>
    <pivotField numFmtId="165" showAll="0"/>
    <pivotField numFmtId="165" showAll="0"/>
    <pivotField numFmtId="166" showAll="0"/>
    <pivotField axis="axisRow" showAll="0">
      <items count="4">
        <item n="BUSINESS" x="1"/>
        <item n="ECONOMY" x="0"/>
        <item n="FIRST CLASS" x="2"/>
        <item t="default"/>
      </items>
    </pivotField>
    <pivotField showAll="0"/>
    <pivotField numFmtId="166" showAll="0"/>
    <pivotField showAll="0"/>
    <pivotField dataField="1" numFmtId="166" showAll="0"/>
    <pivotField showAll="0">
      <items count="3">
        <item x="1"/>
        <item x="0"/>
        <item t="default"/>
      </items>
    </pivotField>
    <pivotField showAll="0"/>
  </pivotFields>
  <rowFields count="1">
    <field x="10"/>
  </rowFields>
  <rowItems count="3">
    <i>
      <x/>
    </i>
    <i>
      <x v="1"/>
    </i>
    <i>
      <x v="2"/>
    </i>
  </rowItems>
  <colItems count="1">
    <i/>
  </colItems>
  <dataFields count="1">
    <dataField name="Sum of TOTAL BIAYA" fld="1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A537D5-A4A4-49C0-B707-E43DDC4F2894}"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7">
    <pivotField showAll="0"/>
    <pivotField showAll="0"/>
    <pivotField showAll="0"/>
    <pivotField numFmtId="14" showAll="0"/>
    <pivotField showAll="0"/>
    <pivotField showAll="0">
      <items count="6">
        <item x="0"/>
        <item x="4"/>
        <item x="3"/>
        <item x="2"/>
        <item x="1"/>
        <item t="default"/>
      </items>
    </pivotField>
    <pivotField numFmtId="165" showAll="0"/>
    <pivotField numFmtId="165" showAll="0"/>
    <pivotField numFmtId="165" showAll="0"/>
    <pivotField numFmtId="166" showAll="0"/>
    <pivotField showAll="0">
      <items count="4">
        <item x="1"/>
        <item x="0"/>
        <item x="2"/>
        <item t="default"/>
      </items>
    </pivotField>
    <pivotField showAll="0"/>
    <pivotField numFmtId="166" showAll="0"/>
    <pivotField showAll="0"/>
    <pivotField dataField="1" numFmtId="166" showAll="0"/>
    <pivotField showAll="0">
      <items count="3">
        <item x="1"/>
        <item x="0"/>
        <item t="default"/>
      </items>
    </pivotField>
    <pivotField showAll="0"/>
  </pivotFields>
  <rowItems count="1">
    <i/>
  </rowItems>
  <colItems count="1">
    <i/>
  </colItems>
  <dataFields count="1">
    <dataField name="Sum of TOTAL BIAYA" fld="1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0D14D-184D-4F76-8D9D-6F3EAC769AA7}"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1:B23" firstHeaderRow="1" firstDataRow="1" firstDataCol="1"/>
  <pivotFields count="17">
    <pivotField showAll="0"/>
    <pivotField showAll="0"/>
    <pivotField showAll="0"/>
    <pivotField numFmtId="14" showAll="0"/>
    <pivotField showAll="0"/>
    <pivotField showAll="0">
      <items count="6">
        <item x="0"/>
        <item x="4"/>
        <item x="3"/>
        <item x="2"/>
        <item x="1"/>
        <item t="default"/>
      </items>
    </pivotField>
    <pivotField numFmtId="165" showAll="0"/>
    <pivotField numFmtId="165" showAll="0"/>
    <pivotField dataField="1" numFmtId="165" showAll="0"/>
    <pivotField numFmtId="166" showAll="0"/>
    <pivotField showAll="0">
      <items count="4">
        <item x="1"/>
        <item x="0"/>
        <item x="2"/>
        <item t="default"/>
      </items>
    </pivotField>
    <pivotField showAll="0"/>
    <pivotField numFmtId="166" showAll="0"/>
    <pivotField showAll="0"/>
    <pivotField numFmtId="166" showAll="0"/>
    <pivotField showAll="0">
      <items count="3">
        <item x="1"/>
        <item x="0"/>
        <item t="default"/>
      </items>
    </pivotField>
    <pivotField axis="axisRow" showAll="0">
      <items count="3">
        <item x="1"/>
        <item x="0"/>
        <item t="default"/>
      </items>
    </pivotField>
  </pivotFields>
  <rowFields count="1">
    <field x="16"/>
  </rowFields>
  <rowItems count="2">
    <i>
      <x/>
    </i>
    <i>
      <x v="1"/>
    </i>
  </rowItems>
  <colItems count="1">
    <i/>
  </colItems>
  <dataFields count="1">
    <dataField name="Average of DURASI" fld="8" subtotal="average" baseField="16" baseItem="0" numFmtId="165"/>
  </dataFields>
  <chartFormats count="3">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6" count="1" selected="0">
            <x v="0"/>
          </reference>
        </references>
      </pivotArea>
    </chartFormat>
    <chartFormat chart="4" format="7">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439719-00B0-4A19-A95F-7EC8667ACD7C}"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2:C18" firstHeaderRow="1" firstDataRow="2" firstDataCol="1"/>
  <pivotFields count="17">
    <pivotField showAll="0"/>
    <pivotField showAll="0"/>
    <pivotField dataField="1" showAll="0"/>
    <pivotField numFmtId="14" showAll="0"/>
    <pivotField showAll="0"/>
    <pivotField axis="axisRow" showAll="0">
      <items count="6">
        <item x="0"/>
        <item x="4"/>
        <item x="3"/>
        <item x="2"/>
        <item x="1"/>
        <item t="default"/>
      </items>
    </pivotField>
    <pivotField numFmtId="165" showAll="0"/>
    <pivotField numFmtId="165" showAll="0"/>
    <pivotField numFmtId="165" showAll="0"/>
    <pivotField numFmtId="166" showAll="0"/>
    <pivotField showAll="0">
      <items count="4">
        <item x="1"/>
        <item x="0"/>
        <item x="2"/>
        <item t="default"/>
      </items>
    </pivotField>
    <pivotField showAll="0"/>
    <pivotField numFmtId="166" showAll="0"/>
    <pivotField showAll="0"/>
    <pivotField numFmtId="166" showAll="0"/>
    <pivotField axis="axisCol" showAll="0">
      <items count="3">
        <item n="Berbayar" x="1"/>
        <item x="0"/>
        <item t="default"/>
      </items>
    </pivotField>
    <pivotField showAll="0"/>
  </pivotFields>
  <rowFields count="1">
    <field x="5"/>
  </rowFields>
  <rowItems count="5">
    <i>
      <x/>
    </i>
    <i>
      <x v="1"/>
    </i>
    <i>
      <x v="2"/>
    </i>
    <i>
      <x v="3"/>
    </i>
    <i>
      <x v="4"/>
    </i>
  </rowItems>
  <colFields count="1">
    <field x="15"/>
  </colFields>
  <colItems count="2">
    <i>
      <x/>
    </i>
    <i>
      <x v="1"/>
    </i>
  </colItems>
  <dataFields count="1">
    <dataField name="Count of NAMA PENUMPANG" fld="2" subtotal="count" baseField="0" baseItem="0"/>
  </dataFields>
  <formats count="3">
    <format dxfId="5">
      <pivotArea type="all" dataOnly="0" outline="0" fieldPosition="0"/>
    </format>
    <format dxfId="4">
      <pivotArea type="all" dataOnly="0" outline="0" fieldPosition="0"/>
    </format>
    <format dxfId="3">
      <pivotArea type="all" dataOnly="0" outline="0" fieldPosition="0"/>
    </format>
  </formats>
  <chartFormats count="3">
    <chartFormat chart="5" format="7" series="1">
      <pivotArea type="data" outline="0" fieldPosition="0">
        <references count="2">
          <reference field="4294967294" count="1" selected="0">
            <x v="0"/>
          </reference>
          <reference field="15" count="1" selected="0">
            <x v="0"/>
          </reference>
        </references>
      </pivotArea>
    </chartFormat>
    <chartFormat chart="5" format="8" series="1">
      <pivotArea type="data" outline="0" fieldPosition="0">
        <references count="2">
          <reference field="4294967294" count="1" selected="0">
            <x v="0"/>
          </reference>
          <reference field="15" count="1" selected="0">
            <x v="1"/>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2BC454-9E71-46E2-99D2-0EF064135811}" name="PivotTable1" cacheId="4"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6">
  <location ref="A3:D9" firstHeaderRow="1" firstDataRow="2" firstDataCol="1"/>
  <pivotFields count="17">
    <pivotField compact="0" outline="0" showAll="0"/>
    <pivotField compact="0" outline="0" showAll="0"/>
    <pivotField compact="0" outline="0" showAll="0"/>
    <pivotField compact="0" numFmtId="14" outline="0" showAll="0"/>
    <pivotField compact="0" outline="0" showAll="0"/>
    <pivotField axis="axisRow" compact="0" outline="0" showAll="0">
      <items count="6">
        <item x="0"/>
        <item x="4"/>
        <item x="3"/>
        <item x="2"/>
        <item x="1"/>
        <item t="default"/>
      </items>
    </pivotField>
    <pivotField compact="0" numFmtId="165" outline="0" showAll="0"/>
    <pivotField compact="0" numFmtId="165" outline="0" showAll="0"/>
    <pivotField compact="0" numFmtId="165" outline="0" showAll="0"/>
    <pivotField compact="0" numFmtId="166" outline="0" showAll="0"/>
    <pivotField axis="axisCol" compact="0" outline="0" showAll="0">
      <items count="4">
        <item n="Business" x="1"/>
        <item n="Economy" x="0"/>
        <item n="First Class" x="2"/>
        <item t="default"/>
      </items>
    </pivotField>
    <pivotField compact="0" outline="0" showAll="0"/>
    <pivotField compact="0" numFmtId="166" outline="0" showAll="0"/>
    <pivotField compact="0" outline="0" showAll="0"/>
    <pivotField dataField="1" compact="0" numFmtId="166" outline="0" showAll="0"/>
    <pivotField compact="0" outline="0" showAll="0">
      <items count="3">
        <item x="1"/>
        <item x="0"/>
        <item t="default"/>
      </items>
    </pivotField>
    <pivotField compact="0" outline="0" showAll="0"/>
  </pivotFields>
  <rowFields count="1">
    <field x="5"/>
  </rowFields>
  <rowItems count="5">
    <i>
      <x/>
    </i>
    <i>
      <x v="1"/>
    </i>
    <i>
      <x v="2"/>
    </i>
    <i>
      <x v="3"/>
    </i>
    <i>
      <x v="4"/>
    </i>
  </rowItems>
  <colFields count="1">
    <field x="10"/>
  </colFields>
  <colItems count="3">
    <i>
      <x/>
    </i>
    <i>
      <x v="1"/>
    </i>
    <i>
      <x v="2"/>
    </i>
  </colItems>
  <dataFields count="1">
    <dataField name="Sum of TOTAL BIAYA" fld="14" baseField="0" baseItem="0" numFmtId="166"/>
  </dataFields>
  <formats count="3">
    <format dxfId="8">
      <pivotArea type="all" dataOnly="0" outline="0" fieldPosition="0"/>
    </format>
    <format dxfId="7">
      <pivotArea type="all" dataOnly="0" outline="0" fieldPosition="0"/>
    </format>
    <format dxfId="6">
      <pivotArea type="all" dataOnly="0" outline="0" fieldPosition="0"/>
    </format>
  </formats>
  <chartFormats count="4">
    <chartFormat chart="5" format="10" series="1">
      <pivotArea type="data" outline="0" fieldPosition="0">
        <references count="2">
          <reference field="4294967294" count="1" selected="0">
            <x v="0"/>
          </reference>
          <reference field="10" count="1" selected="0">
            <x v="0"/>
          </reference>
        </references>
      </pivotArea>
    </chartFormat>
    <chartFormat chart="5" format="11" series="1">
      <pivotArea type="data" outline="0" fieldPosition="0">
        <references count="2">
          <reference field="4294967294" count="1" selected="0">
            <x v="0"/>
          </reference>
          <reference field="10" count="1" selected="0">
            <x v="1"/>
          </reference>
        </references>
      </pivotArea>
    </chartFormat>
    <chartFormat chart="5" format="12" series="1">
      <pivotArea type="data" outline="0" fieldPosition="0">
        <references count="2">
          <reference field="4294967294" count="1" selected="0">
            <x v="0"/>
          </reference>
          <reference field="10" count="1" selected="0">
            <x v="2"/>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UTE" xr10:uid="{787DAB71-6677-4BCB-A515-810B4745148C}" sourceName="RUTE">
  <pivotTables>
    <pivotTable tabId="5" name="PivotTable3"/>
    <pivotTable tabId="5" name="PivotTable1"/>
    <pivotTable tabId="5" name="PivotTable2"/>
    <pivotTable tabId="5" name="PivotTable4"/>
    <pivotTable tabId="5" name="PivotTable5"/>
    <pivotTable tabId="5" name="PivotTable6"/>
  </pivotTables>
  <data>
    <tabular pivotCacheId="350635546">
      <items count="5">
        <i x="0" s="1"/>
        <i x="4"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KELAS" xr10:uid="{556E7673-1360-4F28-B726-1453BD29B296}" sourceName="NAMA KELAS">
  <pivotTables>
    <pivotTable tabId="5" name="PivotTable3"/>
    <pivotTable tabId="5" name="PivotTable1"/>
    <pivotTable tabId="5" name="PivotTable2"/>
    <pivotTable tabId="5" name="PivotTable4"/>
    <pivotTable tabId="5" name="PivotTable5"/>
    <pivotTable tabId="5" name="PivotTable6"/>
  </pivotTables>
  <data>
    <tabular pivotCacheId="35063554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BAGASI" xr10:uid="{94F1A312-5DB7-42A5-8585-E12DD193E9A9}" sourceName="STATUS BAGASI">
  <pivotTables>
    <pivotTable tabId="5" name="PivotTable2"/>
    <pivotTable tabId="5" name="PivotTable1"/>
    <pivotTable tabId="5" name="PivotTable3"/>
    <pivotTable tabId="5" name="PivotTable4"/>
    <pivotTable tabId="5" name="PivotTable5"/>
    <pivotTable tabId="5" name="PivotTable6"/>
  </pivotTables>
  <data>
    <tabular pivotCacheId="3506355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UTE" xr10:uid="{FA086351-9DAE-4E84-9F23-C40F0611E18E}" cache="Slicer_RUTE" caption="RUTE" style="SlicerStyleOther1" rowHeight="234950"/>
  <slicer name="NAMA KELAS" xr10:uid="{42598406-2E94-4264-B632-0DBBC68B033F}" cache="Slicer_NAMA_KELAS" caption="NAMA KELAS" columnCount="3" style="SlicerStyleOther1" rowHeight="234950"/>
  <slicer name="STATUS BAGASI" xr10:uid="{D042D6D8-13C7-44C4-B738-BB25B5E588C4}" cache="Slicer_STATUS_BAGASI" caption="STATUS BAGASI" style="SlicerStyleOther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zharidaffa18@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1:S19"/>
  <sheetViews>
    <sheetView showGridLines="0" tabSelected="1" zoomScale="73" zoomScaleNormal="73" workbookViewId="0">
      <selection activeCell="J15" sqref="J15:S15"/>
    </sheetView>
  </sheetViews>
  <sheetFormatPr defaultRowHeight="14.4" x14ac:dyDescent="0.3"/>
  <cols>
    <col min="9" max="9" width="30.44140625" customWidth="1"/>
  </cols>
  <sheetData>
    <row r="1" spans="9:19" x14ac:dyDescent="0.3">
      <c r="I1" s="24" t="s">
        <v>5</v>
      </c>
      <c r="J1" s="24"/>
      <c r="K1" s="24"/>
      <c r="L1" s="24"/>
      <c r="M1" s="24"/>
      <c r="N1" s="24"/>
      <c r="O1" s="24"/>
      <c r="P1" s="24"/>
      <c r="Q1" s="24"/>
      <c r="R1" s="24"/>
      <c r="S1" s="24"/>
    </row>
    <row r="2" spans="9:19" x14ac:dyDescent="0.3">
      <c r="I2" s="25"/>
      <c r="J2" s="25"/>
      <c r="K2" s="25"/>
      <c r="L2" s="25"/>
      <c r="M2" s="25"/>
      <c r="N2" s="25"/>
      <c r="O2" s="25"/>
      <c r="P2" s="25"/>
      <c r="Q2" s="25"/>
      <c r="R2" s="25"/>
      <c r="S2" s="25"/>
    </row>
    <row r="3" spans="9:19" ht="15" thickBot="1" x14ac:dyDescent="0.35">
      <c r="I3" s="26"/>
      <c r="J3" s="26"/>
      <c r="K3" s="26"/>
      <c r="L3" s="26"/>
      <c r="M3" s="26"/>
      <c r="N3" s="26"/>
      <c r="O3" s="26"/>
      <c r="P3" s="26"/>
      <c r="Q3" s="26"/>
      <c r="R3" s="26"/>
      <c r="S3" s="26"/>
    </row>
    <row r="4" spans="9:19" ht="15" thickTop="1" x14ac:dyDescent="0.3"/>
    <row r="11" spans="9:19" x14ac:dyDescent="0.3">
      <c r="I11" s="1" t="s">
        <v>0</v>
      </c>
    </row>
    <row r="13" spans="9:19" x14ac:dyDescent="0.3">
      <c r="I13" s="2" t="s">
        <v>1</v>
      </c>
      <c r="J13" s="27" t="s">
        <v>224</v>
      </c>
      <c r="K13" s="27"/>
      <c r="L13" s="27"/>
      <c r="M13" s="27"/>
      <c r="N13" s="27"/>
      <c r="O13" s="27"/>
      <c r="P13" s="27"/>
      <c r="Q13" s="27"/>
      <c r="R13" s="27"/>
      <c r="S13" s="27"/>
    </row>
    <row r="14" spans="9:19" x14ac:dyDescent="0.3">
      <c r="I14" s="2" t="s">
        <v>2</v>
      </c>
      <c r="J14" s="27">
        <v>85604054640</v>
      </c>
      <c r="K14" s="27"/>
      <c r="L14" s="27"/>
      <c r="M14" s="27"/>
      <c r="N14" s="27"/>
      <c r="O14" s="27"/>
      <c r="P14" s="27"/>
      <c r="Q14" s="27"/>
      <c r="R14" s="27"/>
      <c r="S14" s="27"/>
    </row>
    <row r="15" spans="9:19" x14ac:dyDescent="0.3">
      <c r="I15" s="2" t="s">
        <v>3</v>
      </c>
      <c r="J15" s="62" t="s">
        <v>225</v>
      </c>
      <c r="K15" s="27"/>
      <c r="L15" s="27"/>
      <c r="M15" s="27"/>
      <c r="N15" s="27"/>
      <c r="O15" s="27"/>
      <c r="P15" s="27"/>
      <c r="Q15" s="27"/>
      <c r="R15" s="27"/>
      <c r="S15" s="27"/>
    </row>
    <row r="18" spans="9:19" x14ac:dyDescent="0.3">
      <c r="I18" s="28" t="s">
        <v>4</v>
      </c>
      <c r="J18" s="28"/>
      <c r="K18" s="28"/>
      <c r="L18" s="28"/>
      <c r="M18" s="28"/>
      <c r="N18" s="28"/>
      <c r="O18" s="28"/>
      <c r="P18" s="28"/>
      <c r="Q18" s="28"/>
      <c r="R18" s="28"/>
      <c r="S18" s="28"/>
    </row>
    <row r="19" spans="9:19" x14ac:dyDescent="0.3">
      <c r="I19" s="28"/>
      <c r="J19" s="28"/>
      <c r="K19" s="28"/>
      <c r="L19" s="28"/>
      <c r="M19" s="28"/>
      <c r="N19" s="28"/>
      <c r="O19" s="28"/>
      <c r="P19" s="28"/>
      <c r="Q19" s="28"/>
      <c r="R19" s="28"/>
      <c r="S19" s="28"/>
    </row>
  </sheetData>
  <mergeCells count="5">
    <mergeCell ref="I1:S3"/>
    <mergeCell ref="J13:S13"/>
    <mergeCell ref="J14:S14"/>
    <mergeCell ref="J15:S15"/>
    <mergeCell ref="I18:S19"/>
  </mergeCells>
  <hyperlinks>
    <hyperlink ref="J15" r:id="rId1" xr:uid="{C8A31D95-E7F3-4783-95E5-90C3DEFC6F6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89"/>
  <sheetViews>
    <sheetView showGridLines="0" topLeftCell="N58" zoomScale="80" zoomScaleNormal="80" workbookViewId="0">
      <selection activeCell="AM48" sqref="AM48"/>
    </sheetView>
  </sheetViews>
  <sheetFormatPr defaultRowHeight="14.4" x14ac:dyDescent="0.3"/>
  <cols>
    <col min="1" max="1" width="15.109375" customWidth="1"/>
    <col min="2" max="2" width="19.109375" customWidth="1"/>
    <col min="3" max="4" width="11.109375" customWidth="1"/>
    <col min="5" max="5" width="16.6640625" customWidth="1"/>
    <col min="6" max="6" width="3.6640625" customWidth="1"/>
    <col min="7" max="7" width="13.5546875" customWidth="1"/>
    <col min="8" max="10" width="14.5546875" customWidth="1"/>
    <col min="11" max="11" width="6" customWidth="1"/>
    <col min="12" max="12" width="3.88671875" customWidth="1"/>
    <col min="13" max="13" width="9.109375" customWidth="1"/>
    <col min="24" max="24" width="4.6640625" customWidth="1"/>
    <col min="25" max="26" width="3.5546875" customWidth="1"/>
  </cols>
  <sheetData>
    <row r="1" spans="1:37" ht="15" customHeight="1" x14ac:dyDescent="0.3">
      <c r="A1" s="32" t="s">
        <v>5</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row>
    <row r="2" spans="1:37" ht="15" customHeight="1" x14ac:dyDescent="0.3">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row>
    <row r="3" spans="1:37" ht="15.75" customHeight="1" thickBot="1" x14ac:dyDescent="0.35">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row>
    <row r="4" spans="1:37" ht="15" thickTop="1" x14ac:dyDescent="0.3"/>
    <row r="6" spans="1:37" x14ac:dyDescent="0.3">
      <c r="A6" s="49" t="s">
        <v>6</v>
      </c>
      <c r="B6" s="49"/>
      <c r="C6" s="49"/>
      <c r="D6" s="49"/>
      <c r="E6" s="49"/>
      <c r="F6" s="49"/>
      <c r="G6" s="49"/>
      <c r="H6" s="49"/>
      <c r="I6" s="49"/>
      <c r="J6" s="49"/>
      <c r="L6" s="38" t="s">
        <v>155</v>
      </c>
      <c r="M6" s="38"/>
      <c r="N6" s="38"/>
      <c r="O6" s="38"/>
      <c r="P6" s="38"/>
      <c r="Q6" s="38"/>
      <c r="R6" s="38"/>
      <c r="S6" s="38"/>
      <c r="T6" s="38"/>
      <c r="U6" s="38"/>
      <c r="V6" s="38"/>
      <c r="W6" s="38"/>
      <c r="Y6" s="38" t="s">
        <v>155</v>
      </c>
      <c r="Z6" s="38"/>
      <c r="AA6" s="38"/>
      <c r="AB6" s="38"/>
      <c r="AC6" s="38"/>
      <c r="AD6" s="38"/>
      <c r="AE6" s="38"/>
      <c r="AF6" s="38"/>
      <c r="AG6" s="38"/>
      <c r="AH6" s="38"/>
      <c r="AI6" s="38"/>
      <c r="AJ6" s="38"/>
      <c r="AK6" s="38"/>
    </row>
    <row r="7" spans="1:37" x14ac:dyDescent="0.3">
      <c r="A7" s="50" t="s">
        <v>7</v>
      </c>
      <c r="B7" s="50"/>
      <c r="C7" s="50"/>
      <c r="D7" s="50"/>
      <c r="E7" s="50"/>
      <c r="F7" s="50"/>
      <c r="G7" s="50"/>
      <c r="H7" s="50"/>
      <c r="I7" s="50"/>
      <c r="J7" s="50"/>
      <c r="L7" s="46" t="s">
        <v>175</v>
      </c>
      <c r="M7" s="46"/>
      <c r="N7" s="46"/>
      <c r="O7" s="46"/>
      <c r="P7" s="46"/>
      <c r="Q7" s="46"/>
      <c r="R7" s="46"/>
      <c r="S7" s="46"/>
      <c r="T7" s="46"/>
      <c r="U7" s="46"/>
      <c r="V7" s="46"/>
      <c r="W7" s="46"/>
      <c r="Y7" s="39" t="s">
        <v>183</v>
      </c>
      <c r="Z7" s="40"/>
      <c r="AA7" s="40"/>
      <c r="AB7" s="40"/>
      <c r="AC7" s="40"/>
      <c r="AD7" s="40"/>
      <c r="AE7" s="40"/>
      <c r="AF7" s="40"/>
      <c r="AG7" s="40"/>
      <c r="AH7" s="40"/>
      <c r="AI7" s="40"/>
      <c r="AJ7" s="40"/>
      <c r="AK7" s="41"/>
    </row>
    <row r="8" spans="1:37" ht="15" customHeight="1" x14ac:dyDescent="0.3">
      <c r="A8" s="51" t="s">
        <v>172</v>
      </c>
      <c r="B8" s="51"/>
      <c r="C8" s="51"/>
      <c r="D8" s="51"/>
      <c r="E8" s="51"/>
      <c r="F8" s="51"/>
      <c r="G8" s="51"/>
      <c r="H8" s="51"/>
      <c r="I8" s="51"/>
      <c r="J8" s="51"/>
      <c r="L8" s="13" t="s">
        <v>154</v>
      </c>
      <c r="M8" s="31" t="s">
        <v>151</v>
      </c>
      <c r="N8" s="31"/>
      <c r="O8" s="31"/>
      <c r="P8" s="31"/>
      <c r="Q8" s="31"/>
      <c r="R8" s="31"/>
      <c r="S8" s="31"/>
      <c r="T8" s="31"/>
      <c r="U8" s="31"/>
      <c r="V8" s="31"/>
      <c r="W8" s="31"/>
      <c r="Y8" s="36" t="s">
        <v>176</v>
      </c>
      <c r="Z8" s="36"/>
      <c r="AA8" s="36"/>
      <c r="AB8" s="36"/>
      <c r="AC8" s="36"/>
      <c r="AD8" s="36"/>
      <c r="AE8" s="36"/>
      <c r="AF8" s="36"/>
      <c r="AG8" s="36"/>
      <c r="AH8" s="36"/>
      <c r="AI8" s="36"/>
      <c r="AJ8" s="36"/>
      <c r="AK8" s="36"/>
    </row>
    <row r="9" spans="1:37" x14ac:dyDescent="0.3">
      <c r="A9" s="51"/>
      <c r="B9" s="51"/>
      <c r="C9" s="51"/>
      <c r="D9" s="51"/>
      <c r="E9" s="51"/>
      <c r="F9" s="51"/>
      <c r="G9" s="51"/>
      <c r="H9" s="51"/>
      <c r="I9" s="51"/>
      <c r="J9" s="51"/>
      <c r="L9" s="13" t="s">
        <v>154</v>
      </c>
      <c r="M9" s="31" t="s">
        <v>152</v>
      </c>
      <c r="N9" s="31"/>
      <c r="O9" s="31"/>
      <c r="P9" s="31"/>
      <c r="Q9" s="31"/>
      <c r="R9" s="31"/>
      <c r="S9" s="31"/>
      <c r="T9" s="31"/>
      <c r="U9" s="31"/>
      <c r="V9" s="31"/>
      <c r="W9" s="31"/>
      <c r="Y9" s="36"/>
      <c r="Z9" s="36"/>
      <c r="AA9" s="36"/>
      <c r="AB9" s="36"/>
      <c r="AC9" s="36"/>
      <c r="AD9" s="36"/>
      <c r="AE9" s="36"/>
      <c r="AF9" s="36"/>
      <c r="AG9" s="36"/>
      <c r="AH9" s="36"/>
      <c r="AI9" s="36"/>
      <c r="AJ9" s="36"/>
      <c r="AK9" s="36"/>
    </row>
    <row r="10" spans="1:37" x14ac:dyDescent="0.3">
      <c r="A10" s="51"/>
      <c r="B10" s="51"/>
      <c r="C10" s="51"/>
      <c r="D10" s="51"/>
      <c r="E10" s="51"/>
      <c r="F10" s="51"/>
      <c r="G10" s="51"/>
      <c r="H10" s="51"/>
      <c r="I10" s="51"/>
      <c r="J10" s="51"/>
      <c r="L10" s="13" t="s">
        <v>154</v>
      </c>
      <c r="M10" s="31" t="s">
        <v>153</v>
      </c>
      <c r="N10" s="31"/>
      <c r="O10" s="31"/>
      <c r="P10" s="31"/>
      <c r="Q10" s="31"/>
      <c r="R10" s="31"/>
      <c r="S10" s="31"/>
      <c r="T10" s="31"/>
      <c r="U10" s="31"/>
      <c r="V10" s="31"/>
      <c r="W10" s="31"/>
      <c r="Y10" s="31"/>
      <c r="Z10" s="31"/>
      <c r="AA10" s="31"/>
      <c r="AB10" s="31"/>
      <c r="AC10" s="31"/>
      <c r="AD10" s="31"/>
      <c r="AE10" s="31"/>
      <c r="AF10" s="31"/>
      <c r="AG10" s="31"/>
      <c r="AH10" s="31"/>
      <c r="AI10" s="31"/>
      <c r="AJ10" s="31"/>
      <c r="AK10" s="31"/>
    </row>
    <row r="11" spans="1:37" x14ac:dyDescent="0.3">
      <c r="A11" s="51"/>
      <c r="B11" s="51"/>
      <c r="C11" s="51"/>
      <c r="D11" s="51"/>
      <c r="E11" s="51"/>
      <c r="F11" s="51"/>
      <c r="G11" s="51"/>
      <c r="H11" s="51"/>
      <c r="I11" s="51"/>
      <c r="J11" s="51"/>
      <c r="L11" s="43"/>
      <c r="M11" s="44"/>
      <c r="N11" s="44"/>
      <c r="O11" s="44"/>
      <c r="P11" s="44"/>
      <c r="Q11" s="44"/>
      <c r="R11" s="44"/>
      <c r="S11" s="44"/>
      <c r="T11" s="44"/>
      <c r="U11" s="44"/>
      <c r="V11" s="44"/>
      <c r="W11" s="45"/>
      <c r="Y11" s="30">
        <v>1</v>
      </c>
      <c r="Z11" s="37" t="s">
        <v>177</v>
      </c>
      <c r="AA11" s="37"/>
      <c r="AB11" s="37"/>
      <c r="AC11" s="37"/>
      <c r="AD11" s="37"/>
      <c r="AE11" s="37"/>
      <c r="AF11" s="37"/>
      <c r="AG11" s="37"/>
      <c r="AH11" s="37"/>
      <c r="AI11" s="37"/>
      <c r="AJ11" s="37"/>
      <c r="AK11" s="37"/>
    </row>
    <row r="12" spans="1:37" x14ac:dyDescent="0.3">
      <c r="A12" s="51"/>
      <c r="B12" s="51"/>
      <c r="C12" s="51"/>
      <c r="D12" s="51"/>
      <c r="E12" s="51"/>
      <c r="F12" s="51"/>
      <c r="G12" s="51"/>
      <c r="H12" s="51"/>
      <c r="I12" s="51"/>
      <c r="J12" s="51"/>
      <c r="L12" s="30">
        <v>1</v>
      </c>
      <c r="M12" s="37" t="s">
        <v>139</v>
      </c>
      <c r="N12" s="37"/>
      <c r="O12" s="37"/>
      <c r="P12" s="37"/>
      <c r="Q12" s="37"/>
      <c r="R12" s="37"/>
      <c r="S12" s="37"/>
      <c r="T12" s="37"/>
      <c r="U12" s="37"/>
      <c r="V12" s="37"/>
      <c r="W12" s="37"/>
      <c r="Y12" s="30"/>
      <c r="Z12" s="31" t="s">
        <v>178</v>
      </c>
      <c r="AA12" s="31"/>
      <c r="AB12" s="31"/>
      <c r="AC12" s="31"/>
      <c r="AD12" s="31"/>
      <c r="AE12" s="31"/>
      <c r="AF12" s="31"/>
      <c r="AG12" s="31"/>
      <c r="AH12" s="31"/>
      <c r="AI12" s="31"/>
      <c r="AJ12" s="31"/>
      <c r="AK12" s="31"/>
    </row>
    <row r="13" spans="1:37" x14ac:dyDescent="0.3">
      <c r="A13" s="51"/>
      <c r="B13" s="51"/>
      <c r="C13" s="51"/>
      <c r="D13" s="51"/>
      <c r="E13" s="51"/>
      <c r="F13" s="51"/>
      <c r="G13" s="51"/>
      <c r="H13" s="51"/>
      <c r="I13" s="51"/>
      <c r="J13" s="51"/>
      <c r="L13" s="30"/>
      <c r="M13" s="36" t="s">
        <v>159</v>
      </c>
      <c r="N13" s="36"/>
      <c r="O13" s="36"/>
      <c r="P13" s="36"/>
      <c r="Q13" s="36"/>
      <c r="R13" s="36"/>
      <c r="S13" s="36"/>
      <c r="T13" s="36"/>
      <c r="U13" s="36"/>
      <c r="V13" s="36"/>
      <c r="W13" s="36"/>
      <c r="Y13" s="30"/>
      <c r="Z13" s="30" t="s">
        <v>154</v>
      </c>
      <c r="AA13" s="35" t="s">
        <v>180</v>
      </c>
      <c r="AB13" s="35"/>
      <c r="AC13" s="35"/>
      <c r="AD13" s="35"/>
      <c r="AE13" s="35"/>
      <c r="AF13" s="35"/>
      <c r="AG13" s="35"/>
      <c r="AH13" s="35"/>
      <c r="AI13" s="35"/>
      <c r="AJ13" s="35"/>
      <c r="AK13" s="35"/>
    </row>
    <row r="14" spans="1:37" x14ac:dyDescent="0.3">
      <c r="A14" s="51"/>
      <c r="B14" s="51"/>
      <c r="C14" s="51"/>
      <c r="D14" s="51"/>
      <c r="E14" s="51"/>
      <c r="F14" s="51"/>
      <c r="G14" s="51"/>
      <c r="H14" s="51"/>
      <c r="I14" s="51"/>
      <c r="J14" s="51"/>
      <c r="L14" s="30"/>
      <c r="M14" s="36"/>
      <c r="N14" s="36"/>
      <c r="O14" s="36"/>
      <c r="P14" s="36"/>
      <c r="Q14" s="36"/>
      <c r="R14" s="36"/>
      <c r="S14" s="36"/>
      <c r="T14" s="36"/>
      <c r="U14" s="36"/>
      <c r="V14" s="36"/>
      <c r="W14" s="36"/>
      <c r="Y14" s="30"/>
      <c r="Z14" s="30"/>
      <c r="AA14" s="35"/>
      <c r="AB14" s="35"/>
      <c r="AC14" s="35"/>
      <c r="AD14" s="35"/>
      <c r="AE14" s="35"/>
      <c r="AF14" s="35"/>
      <c r="AG14" s="35"/>
      <c r="AH14" s="35"/>
      <c r="AI14" s="35"/>
      <c r="AJ14" s="35"/>
      <c r="AK14" s="35"/>
    </row>
    <row r="15" spans="1:37" x14ac:dyDescent="0.3">
      <c r="A15" s="51"/>
      <c r="B15" s="51"/>
      <c r="C15" s="51"/>
      <c r="D15" s="51"/>
      <c r="E15" s="51"/>
      <c r="F15" s="51"/>
      <c r="G15" s="51"/>
      <c r="H15" s="51"/>
      <c r="I15" s="51"/>
      <c r="J15" s="51"/>
      <c r="L15" s="30">
        <v>2</v>
      </c>
      <c r="M15" s="37" t="s">
        <v>140</v>
      </c>
      <c r="N15" s="37"/>
      <c r="O15" s="37"/>
      <c r="P15" s="37"/>
      <c r="Q15" s="37"/>
      <c r="R15" s="37"/>
      <c r="S15" s="37"/>
      <c r="T15" s="37"/>
      <c r="U15" s="37"/>
      <c r="V15" s="37"/>
      <c r="W15" s="37"/>
      <c r="Y15" s="30"/>
      <c r="Z15" s="13" t="s">
        <v>154</v>
      </c>
      <c r="AA15" s="29" t="s">
        <v>179</v>
      </c>
      <c r="AB15" s="29"/>
      <c r="AC15" s="29"/>
      <c r="AD15" s="29"/>
      <c r="AE15" s="29"/>
      <c r="AF15" s="29"/>
      <c r="AG15" s="29"/>
      <c r="AH15" s="29"/>
      <c r="AI15" s="29"/>
      <c r="AJ15" s="29"/>
      <c r="AK15" s="29"/>
    </row>
    <row r="16" spans="1:37" ht="15" customHeight="1" x14ac:dyDescent="0.3">
      <c r="L16" s="30"/>
      <c r="M16" s="36" t="s">
        <v>160</v>
      </c>
      <c r="N16" s="36"/>
      <c r="O16" s="36"/>
      <c r="P16" s="36"/>
      <c r="Q16" s="36"/>
      <c r="R16" s="36"/>
      <c r="S16" s="36"/>
      <c r="T16" s="36"/>
      <c r="U16" s="36"/>
      <c r="V16" s="36"/>
      <c r="W16" s="36"/>
      <c r="Y16" s="30"/>
      <c r="Z16" s="30" t="s">
        <v>154</v>
      </c>
      <c r="AA16" s="35" t="s">
        <v>186</v>
      </c>
      <c r="AB16" s="35"/>
      <c r="AC16" s="35"/>
      <c r="AD16" s="35"/>
      <c r="AE16" s="35"/>
      <c r="AF16" s="35"/>
      <c r="AG16" s="35"/>
      <c r="AH16" s="35"/>
      <c r="AI16" s="35"/>
      <c r="AJ16" s="35"/>
      <c r="AK16" s="35"/>
    </row>
    <row r="17" spans="1:37" x14ac:dyDescent="0.3">
      <c r="A17" s="6" t="s">
        <v>8</v>
      </c>
      <c r="B17" s="6"/>
      <c r="C17" s="6"/>
      <c r="D17" s="6"/>
      <c r="E17" s="6"/>
      <c r="F17" s="6"/>
      <c r="G17" s="6"/>
      <c r="H17" s="6"/>
      <c r="I17" s="6"/>
      <c r="J17" s="6"/>
      <c r="K17" s="6"/>
      <c r="L17" s="30"/>
      <c r="M17" s="36"/>
      <c r="N17" s="36"/>
      <c r="O17" s="36"/>
      <c r="P17" s="36"/>
      <c r="Q17" s="36"/>
      <c r="R17" s="36"/>
      <c r="S17" s="36"/>
      <c r="T17" s="36"/>
      <c r="U17" s="36"/>
      <c r="V17" s="36"/>
      <c r="W17" s="36"/>
      <c r="Y17" s="30"/>
      <c r="Z17" s="30"/>
      <c r="AA17" s="35"/>
      <c r="AB17" s="35"/>
      <c r="AC17" s="35"/>
      <c r="AD17" s="35"/>
      <c r="AE17" s="35"/>
      <c r="AF17" s="35"/>
      <c r="AG17" s="35"/>
      <c r="AH17" s="35"/>
      <c r="AI17" s="35"/>
      <c r="AJ17" s="35"/>
      <c r="AK17" s="35"/>
    </row>
    <row r="18" spans="1:37" x14ac:dyDescent="0.3">
      <c r="A18" s="47" t="s">
        <v>156</v>
      </c>
      <c r="B18" s="47"/>
      <c r="C18" s="47"/>
      <c r="D18" s="47"/>
      <c r="E18" s="47"/>
      <c r="G18" s="6" t="s">
        <v>133</v>
      </c>
      <c r="H18" s="6"/>
      <c r="I18" s="6"/>
      <c r="J18" s="6"/>
      <c r="K18" s="6"/>
      <c r="L18" s="30">
        <v>3</v>
      </c>
      <c r="M18" s="37" t="s">
        <v>141</v>
      </c>
      <c r="N18" s="37"/>
      <c r="O18" s="37"/>
      <c r="P18" s="37"/>
      <c r="Q18" s="37"/>
      <c r="R18" s="37"/>
      <c r="S18" s="37"/>
      <c r="T18" s="37"/>
      <c r="U18" s="37"/>
      <c r="V18" s="37"/>
      <c r="W18" s="37"/>
      <c r="Y18" s="30"/>
      <c r="Z18" s="30"/>
      <c r="AA18" s="35"/>
      <c r="AB18" s="35"/>
      <c r="AC18" s="35"/>
      <c r="AD18" s="35"/>
      <c r="AE18" s="35"/>
      <c r="AF18" s="35"/>
      <c r="AG18" s="35"/>
      <c r="AH18" s="35"/>
      <c r="AI18" s="35"/>
      <c r="AJ18" s="35"/>
      <c r="AK18" s="35"/>
    </row>
    <row r="19" spans="1:37" ht="15" customHeight="1" x14ac:dyDescent="0.3">
      <c r="A19" s="48" t="s">
        <v>10</v>
      </c>
      <c r="B19" s="48" t="s">
        <v>124</v>
      </c>
      <c r="C19" s="48" t="s">
        <v>125</v>
      </c>
      <c r="D19" s="48" t="s">
        <v>126</v>
      </c>
      <c r="E19" s="48" t="s">
        <v>127</v>
      </c>
      <c r="G19" s="9" t="s">
        <v>11</v>
      </c>
      <c r="H19" s="10" t="s">
        <v>14</v>
      </c>
      <c r="I19" s="10" t="s">
        <v>17</v>
      </c>
      <c r="J19" s="10" t="s">
        <v>22</v>
      </c>
      <c r="K19" s="6"/>
      <c r="L19" s="30"/>
      <c r="M19" s="36" t="s">
        <v>161</v>
      </c>
      <c r="N19" s="36"/>
      <c r="O19" s="36"/>
      <c r="P19" s="36"/>
      <c r="Q19" s="36"/>
      <c r="R19" s="36"/>
      <c r="S19" s="36"/>
      <c r="T19" s="36"/>
      <c r="U19" s="36"/>
      <c r="V19" s="36"/>
      <c r="W19" s="36"/>
      <c r="Y19" s="30"/>
      <c r="Z19" s="30"/>
      <c r="AA19" s="35"/>
      <c r="AB19" s="35"/>
      <c r="AC19" s="35"/>
      <c r="AD19" s="35"/>
      <c r="AE19" s="35"/>
      <c r="AF19" s="35"/>
      <c r="AG19" s="35"/>
      <c r="AH19" s="35"/>
      <c r="AI19" s="35"/>
      <c r="AJ19" s="35"/>
      <c r="AK19" s="35"/>
    </row>
    <row r="20" spans="1:37" x14ac:dyDescent="0.3">
      <c r="A20" s="48"/>
      <c r="B20" s="48"/>
      <c r="C20" s="48"/>
      <c r="D20" s="48"/>
      <c r="E20" s="48"/>
      <c r="G20" s="9" t="s">
        <v>134</v>
      </c>
      <c r="H20" s="3" t="s">
        <v>136</v>
      </c>
      <c r="I20" s="3" t="s">
        <v>137</v>
      </c>
      <c r="J20" s="3" t="s">
        <v>138</v>
      </c>
      <c r="K20" s="6"/>
      <c r="L20" s="30"/>
      <c r="M20" s="36"/>
      <c r="N20" s="36"/>
      <c r="O20" s="36"/>
      <c r="P20" s="36"/>
      <c r="Q20" s="36"/>
      <c r="R20" s="36"/>
      <c r="S20" s="36"/>
      <c r="T20" s="36"/>
      <c r="U20" s="36"/>
      <c r="V20" s="36"/>
      <c r="W20" s="36"/>
      <c r="Y20" s="30"/>
      <c r="Z20" s="30"/>
      <c r="AA20" s="35"/>
      <c r="AB20" s="35"/>
      <c r="AC20" s="35"/>
      <c r="AD20" s="35"/>
      <c r="AE20" s="35"/>
      <c r="AF20" s="35"/>
      <c r="AG20" s="35"/>
      <c r="AH20" s="35"/>
      <c r="AI20" s="35"/>
      <c r="AJ20" s="35"/>
      <c r="AK20" s="35"/>
    </row>
    <row r="21" spans="1:37" x14ac:dyDescent="0.3">
      <c r="A21" s="3" t="s">
        <v>13</v>
      </c>
      <c r="B21" s="3" t="s">
        <v>128</v>
      </c>
      <c r="C21" s="4">
        <v>0.25</v>
      </c>
      <c r="D21" s="4">
        <v>0.33333333333333331</v>
      </c>
      <c r="E21" s="5">
        <v>1200000</v>
      </c>
      <c r="G21" s="9" t="s">
        <v>135</v>
      </c>
      <c r="H21" s="3">
        <v>1</v>
      </c>
      <c r="I21" s="3">
        <v>1.5</v>
      </c>
      <c r="J21" s="3">
        <v>2</v>
      </c>
      <c r="L21" s="30">
        <v>4</v>
      </c>
      <c r="M21" s="37" t="s">
        <v>149</v>
      </c>
      <c r="N21" s="37"/>
      <c r="O21" s="37"/>
      <c r="P21" s="37"/>
      <c r="Q21" s="37"/>
      <c r="R21" s="37"/>
      <c r="S21" s="37"/>
      <c r="T21" s="37"/>
      <c r="U21" s="37"/>
      <c r="V21" s="37"/>
      <c r="W21" s="37"/>
      <c r="Y21" s="30"/>
      <c r="Z21" s="30"/>
      <c r="AA21" s="35"/>
      <c r="AB21" s="35"/>
      <c r="AC21" s="35"/>
      <c r="AD21" s="35"/>
      <c r="AE21" s="35"/>
      <c r="AF21" s="35"/>
      <c r="AG21" s="35"/>
      <c r="AH21" s="35"/>
      <c r="AI21" s="35"/>
      <c r="AJ21" s="35"/>
      <c r="AK21" s="35"/>
    </row>
    <row r="22" spans="1:37" ht="15" customHeight="1" x14ac:dyDescent="0.3">
      <c r="A22" s="3" t="s">
        <v>16</v>
      </c>
      <c r="B22" s="3" t="s">
        <v>129</v>
      </c>
      <c r="C22" s="4">
        <v>0.3125</v>
      </c>
      <c r="D22" s="4">
        <v>0.375</v>
      </c>
      <c r="E22" s="5">
        <v>900000</v>
      </c>
      <c r="G22" s="8"/>
      <c r="H22" s="7"/>
      <c r="I22" s="7"/>
      <c r="L22" s="30"/>
      <c r="M22" s="36" t="s">
        <v>157</v>
      </c>
      <c r="N22" s="36"/>
      <c r="O22" s="36"/>
      <c r="P22" s="36"/>
      <c r="Q22" s="36"/>
      <c r="R22" s="36"/>
      <c r="S22" s="36"/>
      <c r="T22" s="36"/>
      <c r="U22" s="36"/>
      <c r="V22" s="36"/>
      <c r="W22" s="36"/>
      <c r="Y22" s="30"/>
      <c r="Z22" s="30"/>
      <c r="AA22" s="35"/>
      <c r="AB22" s="35"/>
      <c r="AC22" s="35"/>
      <c r="AD22" s="35"/>
      <c r="AE22" s="35"/>
      <c r="AF22" s="35"/>
      <c r="AG22" s="35"/>
      <c r="AH22" s="35"/>
      <c r="AI22" s="35"/>
      <c r="AJ22" s="35"/>
      <c r="AK22" s="35"/>
    </row>
    <row r="23" spans="1:37" x14ac:dyDescent="0.3">
      <c r="A23" s="3" t="s">
        <v>19</v>
      </c>
      <c r="B23" s="3" t="s">
        <v>130</v>
      </c>
      <c r="C23" s="4">
        <v>0.33333333333333331</v>
      </c>
      <c r="D23" s="4">
        <v>0.4375</v>
      </c>
      <c r="E23" s="5">
        <v>1500000</v>
      </c>
      <c r="G23" s="7"/>
      <c r="H23" s="7"/>
      <c r="I23" s="7"/>
      <c r="L23" s="30"/>
      <c r="M23" s="42" t="s">
        <v>158</v>
      </c>
      <c r="N23" s="42"/>
      <c r="O23" s="42"/>
      <c r="P23" s="42"/>
      <c r="Q23" s="42"/>
      <c r="R23" s="42"/>
      <c r="S23" s="42"/>
      <c r="T23" s="42"/>
      <c r="U23" s="42"/>
      <c r="V23" s="42"/>
      <c r="W23" s="42"/>
      <c r="Y23" s="30">
        <v>2</v>
      </c>
      <c r="Z23" s="37" t="s">
        <v>181</v>
      </c>
      <c r="AA23" s="37"/>
      <c r="AB23" s="37"/>
      <c r="AC23" s="37"/>
      <c r="AD23" s="37"/>
      <c r="AE23" s="37"/>
      <c r="AF23" s="37"/>
      <c r="AG23" s="37"/>
      <c r="AH23" s="37"/>
      <c r="AI23" s="37"/>
      <c r="AJ23" s="37"/>
      <c r="AK23" s="37"/>
    </row>
    <row r="24" spans="1:37" x14ac:dyDescent="0.3">
      <c r="A24" s="3" t="s">
        <v>21</v>
      </c>
      <c r="B24" s="3" t="s">
        <v>131</v>
      </c>
      <c r="C24" s="4">
        <v>0.375</v>
      </c>
      <c r="D24" s="4">
        <v>0.47916666666666669</v>
      </c>
      <c r="E24" s="5">
        <v>1800000</v>
      </c>
      <c r="L24" s="30">
        <v>5</v>
      </c>
      <c r="M24" s="37" t="s">
        <v>146</v>
      </c>
      <c r="N24" s="37"/>
      <c r="O24" s="37"/>
      <c r="P24" s="37"/>
      <c r="Q24" s="37"/>
      <c r="R24" s="37"/>
      <c r="S24" s="37"/>
      <c r="T24" s="37"/>
      <c r="U24" s="37"/>
      <c r="V24" s="37"/>
      <c r="W24" s="37"/>
      <c r="Y24" s="30"/>
      <c r="Z24" s="36" t="s">
        <v>182</v>
      </c>
      <c r="AA24" s="36"/>
      <c r="AB24" s="36"/>
      <c r="AC24" s="36"/>
      <c r="AD24" s="36"/>
      <c r="AE24" s="36"/>
      <c r="AF24" s="36"/>
      <c r="AG24" s="36"/>
      <c r="AH24" s="36"/>
      <c r="AI24" s="36"/>
      <c r="AJ24" s="36"/>
      <c r="AK24" s="36"/>
    </row>
    <row r="25" spans="1:37" ht="15" customHeight="1" x14ac:dyDescent="0.3">
      <c r="A25" s="3" t="s">
        <v>24</v>
      </c>
      <c r="B25" s="3" t="s">
        <v>132</v>
      </c>
      <c r="C25" s="4">
        <v>0.41666666666666669</v>
      </c>
      <c r="D25" s="4">
        <v>0.5</v>
      </c>
      <c r="E25" s="5">
        <v>1300000</v>
      </c>
      <c r="L25" s="30"/>
      <c r="M25" s="36" t="s">
        <v>162</v>
      </c>
      <c r="N25" s="36"/>
      <c r="O25" s="36"/>
      <c r="P25" s="36"/>
      <c r="Q25" s="36"/>
      <c r="R25" s="36"/>
      <c r="S25" s="36"/>
      <c r="T25" s="36"/>
      <c r="U25" s="36"/>
      <c r="V25" s="36"/>
      <c r="W25" s="36"/>
      <c r="Y25" s="30"/>
      <c r="Z25" s="36"/>
      <c r="AA25" s="36"/>
      <c r="AB25" s="36"/>
      <c r="AC25" s="36"/>
      <c r="AD25" s="36"/>
      <c r="AE25" s="36"/>
      <c r="AF25" s="36"/>
      <c r="AG25" s="36"/>
      <c r="AH25" s="36"/>
      <c r="AI25" s="36"/>
      <c r="AJ25" s="36"/>
      <c r="AK25" s="36"/>
    </row>
    <row r="26" spans="1:37" x14ac:dyDescent="0.3">
      <c r="L26" s="30"/>
      <c r="M26" s="36"/>
      <c r="N26" s="36"/>
      <c r="O26" s="36"/>
      <c r="P26" s="36"/>
      <c r="Q26" s="36"/>
      <c r="R26" s="36"/>
      <c r="S26" s="36"/>
      <c r="T26" s="36"/>
      <c r="U26" s="36"/>
      <c r="V26" s="36"/>
      <c r="W26" s="36"/>
      <c r="Y26" s="30"/>
      <c r="Z26" s="30" t="s">
        <v>154</v>
      </c>
      <c r="AA26" s="35" t="s">
        <v>184</v>
      </c>
      <c r="AB26" s="35"/>
      <c r="AC26" s="35"/>
      <c r="AD26" s="35"/>
      <c r="AE26" s="35"/>
      <c r="AF26" s="35"/>
      <c r="AG26" s="35"/>
      <c r="AH26" s="35"/>
      <c r="AI26" s="35"/>
      <c r="AJ26" s="35"/>
      <c r="AK26" s="35"/>
    </row>
    <row r="27" spans="1:37" x14ac:dyDescent="0.3">
      <c r="A27" s="6"/>
      <c r="B27" s="6"/>
      <c r="C27" s="6"/>
      <c r="D27" s="6"/>
      <c r="E27" s="6"/>
      <c r="F27" s="6"/>
      <c r="L27" s="30">
        <v>6</v>
      </c>
      <c r="M27" s="37" t="s">
        <v>142</v>
      </c>
      <c r="N27" s="37"/>
      <c r="O27" s="37"/>
      <c r="P27" s="37"/>
      <c r="Q27" s="37"/>
      <c r="R27" s="37"/>
      <c r="S27" s="37"/>
      <c r="T27" s="37"/>
      <c r="U27" s="37"/>
      <c r="V27" s="37"/>
      <c r="W27" s="37"/>
      <c r="Y27" s="30"/>
      <c r="Z27" s="30"/>
      <c r="AA27" s="35"/>
      <c r="AB27" s="35"/>
      <c r="AC27" s="35"/>
      <c r="AD27" s="35"/>
      <c r="AE27" s="35"/>
      <c r="AF27" s="35"/>
      <c r="AG27" s="35"/>
      <c r="AH27" s="35"/>
      <c r="AI27" s="35"/>
      <c r="AJ27" s="35"/>
      <c r="AK27" s="35"/>
    </row>
    <row r="28" spans="1:37" x14ac:dyDescent="0.3">
      <c r="A28" s="6"/>
      <c r="B28" s="6"/>
      <c r="C28" s="6"/>
      <c r="D28" s="6"/>
      <c r="E28" s="6"/>
      <c r="F28" s="6"/>
      <c r="L28" s="30"/>
      <c r="M28" s="36" t="s">
        <v>164</v>
      </c>
      <c r="N28" s="36"/>
      <c r="O28" s="36"/>
      <c r="P28" s="36"/>
      <c r="Q28" s="36"/>
      <c r="R28" s="36"/>
      <c r="S28" s="36"/>
      <c r="T28" s="36"/>
      <c r="U28" s="36"/>
      <c r="V28" s="36"/>
      <c r="W28" s="36"/>
      <c r="Y28" s="30"/>
      <c r="Z28" s="17" t="s">
        <v>154</v>
      </c>
      <c r="AA28" s="29" t="s">
        <v>185</v>
      </c>
      <c r="AB28" s="29"/>
      <c r="AC28" s="29"/>
      <c r="AD28" s="29"/>
      <c r="AE28" s="29"/>
      <c r="AF28" s="29"/>
      <c r="AG28" s="29"/>
      <c r="AH28" s="29"/>
      <c r="AI28" s="29"/>
      <c r="AJ28" s="29"/>
      <c r="AK28" s="29"/>
    </row>
    <row r="29" spans="1:37" ht="15" customHeight="1" x14ac:dyDescent="0.3">
      <c r="A29" s="6"/>
      <c r="B29" s="6"/>
      <c r="C29" s="6"/>
      <c r="D29" s="6"/>
      <c r="E29" s="6"/>
      <c r="F29" s="6"/>
      <c r="L29" s="30"/>
      <c r="M29" s="36"/>
      <c r="N29" s="36"/>
      <c r="O29" s="36"/>
      <c r="P29" s="36"/>
      <c r="Q29" s="36"/>
      <c r="R29" s="36"/>
      <c r="S29" s="36"/>
      <c r="T29" s="36"/>
      <c r="U29" s="36"/>
      <c r="V29" s="36"/>
      <c r="W29" s="36"/>
      <c r="Y29" s="30"/>
      <c r="Z29" s="30" t="s">
        <v>154</v>
      </c>
      <c r="AA29" s="35" t="s">
        <v>187</v>
      </c>
      <c r="AB29" s="35"/>
      <c r="AC29" s="35"/>
      <c r="AD29" s="35"/>
      <c r="AE29" s="35"/>
      <c r="AF29" s="35"/>
      <c r="AG29" s="35"/>
      <c r="AH29" s="35"/>
      <c r="AI29" s="35"/>
      <c r="AJ29" s="35"/>
      <c r="AK29" s="35"/>
    </row>
    <row r="30" spans="1:37" ht="15" customHeight="1" x14ac:dyDescent="0.3">
      <c r="A30" s="6"/>
      <c r="B30" s="6"/>
      <c r="C30" s="6"/>
      <c r="D30" s="6"/>
      <c r="E30" s="6"/>
      <c r="F30" s="6"/>
      <c r="L30" s="30">
        <v>7</v>
      </c>
      <c r="M30" s="37" t="s">
        <v>143</v>
      </c>
      <c r="N30" s="37"/>
      <c r="O30" s="37"/>
      <c r="P30" s="37"/>
      <c r="Q30" s="37"/>
      <c r="R30" s="37"/>
      <c r="S30" s="37"/>
      <c r="T30" s="37"/>
      <c r="U30" s="37"/>
      <c r="V30" s="37"/>
      <c r="W30" s="37"/>
      <c r="Y30" s="30"/>
      <c r="Z30" s="30"/>
      <c r="AA30" s="35"/>
      <c r="AB30" s="35"/>
      <c r="AC30" s="35"/>
      <c r="AD30" s="35"/>
      <c r="AE30" s="35"/>
      <c r="AF30" s="35"/>
      <c r="AG30" s="35"/>
      <c r="AH30" s="35"/>
      <c r="AI30" s="35"/>
      <c r="AJ30" s="35"/>
      <c r="AK30" s="35"/>
    </row>
    <row r="31" spans="1:37" x14ac:dyDescent="0.3">
      <c r="L31" s="30"/>
      <c r="M31" s="36" t="s">
        <v>163</v>
      </c>
      <c r="N31" s="36"/>
      <c r="O31" s="36"/>
      <c r="P31" s="36"/>
      <c r="Q31" s="36"/>
      <c r="R31" s="36"/>
      <c r="S31" s="36"/>
      <c r="T31" s="36"/>
      <c r="U31" s="36"/>
      <c r="V31" s="36"/>
      <c r="W31" s="36"/>
      <c r="Y31" s="30"/>
      <c r="Z31" s="30"/>
      <c r="AA31" s="35"/>
      <c r="AB31" s="35"/>
      <c r="AC31" s="35"/>
      <c r="AD31" s="35"/>
      <c r="AE31" s="35"/>
      <c r="AF31" s="35"/>
      <c r="AG31" s="35"/>
      <c r="AH31" s="35"/>
      <c r="AI31" s="35"/>
      <c r="AJ31" s="35"/>
      <c r="AK31" s="35"/>
    </row>
    <row r="32" spans="1:37" x14ac:dyDescent="0.3">
      <c r="L32" s="30"/>
      <c r="M32" s="36"/>
      <c r="N32" s="36"/>
      <c r="O32" s="36"/>
      <c r="P32" s="36"/>
      <c r="Q32" s="36"/>
      <c r="R32" s="36"/>
      <c r="S32" s="36"/>
      <c r="T32" s="36"/>
      <c r="U32" s="36"/>
      <c r="V32" s="36"/>
      <c r="W32" s="36"/>
      <c r="Y32" s="30"/>
      <c r="Z32" s="30"/>
      <c r="AA32" s="35"/>
      <c r="AB32" s="35"/>
      <c r="AC32" s="35"/>
      <c r="AD32" s="35"/>
      <c r="AE32" s="35"/>
      <c r="AF32" s="35"/>
      <c r="AG32" s="35"/>
      <c r="AH32" s="35"/>
      <c r="AI32" s="35"/>
      <c r="AJ32" s="35"/>
      <c r="AK32" s="35"/>
    </row>
    <row r="33" spans="12:37" ht="15" customHeight="1" x14ac:dyDescent="0.3">
      <c r="L33" s="30"/>
      <c r="M33" s="42" t="s">
        <v>165</v>
      </c>
      <c r="N33" s="42"/>
      <c r="O33" s="42"/>
      <c r="P33" s="42"/>
      <c r="Q33" s="42"/>
      <c r="R33" s="42"/>
      <c r="S33" s="42"/>
      <c r="T33" s="42"/>
      <c r="U33" s="42"/>
      <c r="V33" s="42"/>
      <c r="W33" s="42"/>
      <c r="Y33" s="30"/>
      <c r="Z33" s="30"/>
      <c r="AA33" s="35"/>
      <c r="AB33" s="35"/>
      <c r="AC33" s="35"/>
      <c r="AD33" s="35"/>
      <c r="AE33" s="35"/>
      <c r="AF33" s="35"/>
      <c r="AG33" s="35"/>
      <c r="AH33" s="35"/>
      <c r="AI33" s="35"/>
      <c r="AJ33" s="35"/>
      <c r="AK33" s="35"/>
    </row>
    <row r="34" spans="12:37" x14ac:dyDescent="0.3">
      <c r="L34" s="30"/>
      <c r="M34" s="42"/>
      <c r="N34" s="42"/>
      <c r="O34" s="42"/>
      <c r="P34" s="42"/>
      <c r="Q34" s="42"/>
      <c r="R34" s="42"/>
      <c r="S34" s="42"/>
      <c r="T34" s="42"/>
      <c r="U34" s="42"/>
      <c r="V34" s="42"/>
      <c r="W34" s="42"/>
      <c r="Y34" s="30"/>
      <c r="Z34" s="30"/>
      <c r="AA34" s="35"/>
      <c r="AB34" s="35"/>
      <c r="AC34" s="35"/>
      <c r="AD34" s="35"/>
      <c r="AE34" s="35"/>
      <c r="AF34" s="35"/>
      <c r="AG34" s="35"/>
      <c r="AH34" s="35"/>
      <c r="AI34" s="35"/>
      <c r="AJ34" s="35"/>
      <c r="AK34" s="35"/>
    </row>
    <row r="35" spans="12:37" x14ac:dyDescent="0.3">
      <c r="L35" s="30"/>
      <c r="M35" s="42"/>
      <c r="N35" s="42"/>
      <c r="O35" s="42"/>
      <c r="P35" s="42"/>
      <c r="Q35" s="42"/>
      <c r="R35" s="42"/>
      <c r="S35" s="42"/>
      <c r="T35" s="42"/>
      <c r="U35" s="42"/>
      <c r="V35" s="42"/>
      <c r="W35" s="42"/>
      <c r="Y35" s="30">
        <v>3</v>
      </c>
      <c r="Z35" s="37" t="s">
        <v>188</v>
      </c>
      <c r="AA35" s="37"/>
      <c r="AB35" s="37"/>
      <c r="AC35" s="37"/>
      <c r="AD35" s="37"/>
      <c r="AE35" s="37"/>
      <c r="AF35" s="37"/>
      <c r="AG35" s="37"/>
      <c r="AH35" s="37"/>
      <c r="AI35" s="37"/>
      <c r="AJ35" s="37"/>
      <c r="AK35" s="37"/>
    </row>
    <row r="36" spans="12:37" x14ac:dyDescent="0.3">
      <c r="L36" s="30">
        <v>8</v>
      </c>
      <c r="M36" s="37" t="s">
        <v>145</v>
      </c>
      <c r="N36" s="37"/>
      <c r="O36" s="37"/>
      <c r="P36" s="37"/>
      <c r="Q36" s="37"/>
      <c r="R36" s="37"/>
      <c r="S36" s="37"/>
      <c r="T36" s="37"/>
      <c r="U36" s="37"/>
      <c r="V36" s="37"/>
      <c r="W36" s="37"/>
      <c r="Y36" s="30"/>
      <c r="Z36" s="31" t="s">
        <v>189</v>
      </c>
      <c r="AA36" s="31"/>
      <c r="AB36" s="31"/>
      <c r="AC36" s="31"/>
      <c r="AD36" s="31"/>
      <c r="AE36" s="31"/>
      <c r="AF36" s="31"/>
      <c r="AG36" s="31"/>
      <c r="AH36" s="31"/>
      <c r="AI36" s="31"/>
      <c r="AJ36" s="31"/>
      <c r="AK36" s="31"/>
    </row>
    <row r="37" spans="12:37" x14ac:dyDescent="0.3">
      <c r="L37" s="30"/>
      <c r="M37" s="31" t="s">
        <v>166</v>
      </c>
      <c r="N37" s="31"/>
      <c r="O37" s="31"/>
      <c r="P37" s="31"/>
      <c r="Q37" s="31"/>
      <c r="R37" s="31"/>
      <c r="S37" s="31"/>
      <c r="T37" s="31"/>
      <c r="U37" s="31"/>
      <c r="V37" s="31"/>
      <c r="W37" s="31"/>
      <c r="Y37" s="30"/>
      <c r="Z37" s="30" t="s">
        <v>154</v>
      </c>
      <c r="AA37" s="35" t="s">
        <v>190</v>
      </c>
      <c r="AB37" s="35"/>
      <c r="AC37" s="35"/>
      <c r="AD37" s="35"/>
      <c r="AE37" s="35"/>
      <c r="AF37" s="35"/>
      <c r="AG37" s="35"/>
      <c r="AH37" s="35"/>
      <c r="AI37" s="35"/>
      <c r="AJ37" s="35"/>
      <c r="AK37" s="35"/>
    </row>
    <row r="38" spans="12:37" x14ac:dyDescent="0.3">
      <c r="L38" s="30">
        <v>9</v>
      </c>
      <c r="M38" s="37" t="s">
        <v>144</v>
      </c>
      <c r="N38" s="37"/>
      <c r="O38" s="37"/>
      <c r="P38" s="37"/>
      <c r="Q38" s="37"/>
      <c r="R38" s="37"/>
      <c r="S38" s="37"/>
      <c r="T38" s="37"/>
      <c r="U38" s="37"/>
      <c r="V38" s="37"/>
      <c r="W38" s="37"/>
      <c r="Y38" s="30"/>
      <c r="Z38" s="30"/>
      <c r="AA38" s="35"/>
      <c r="AB38" s="35"/>
      <c r="AC38" s="35"/>
      <c r="AD38" s="35"/>
      <c r="AE38" s="35"/>
      <c r="AF38" s="35"/>
      <c r="AG38" s="35"/>
      <c r="AH38" s="35"/>
      <c r="AI38" s="35"/>
      <c r="AJ38" s="35"/>
      <c r="AK38" s="35"/>
    </row>
    <row r="39" spans="12:37" ht="15" customHeight="1" x14ac:dyDescent="0.3">
      <c r="L39" s="30"/>
      <c r="M39" s="36" t="s">
        <v>167</v>
      </c>
      <c r="N39" s="36"/>
      <c r="O39" s="36"/>
      <c r="P39" s="36"/>
      <c r="Q39" s="36"/>
      <c r="R39" s="36"/>
      <c r="S39" s="36"/>
      <c r="T39" s="36"/>
      <c r="U39" s="36"/>
      <c r="V39" s="36"/>
      <c r="W39" s="36"/>
      <c r="Y39" s="30"/>
      <c r="Z39" s="30" t="s">
        <v>154</v>
      </c>
      <c r="AA39" s="35" t="s">
        <v>191</v>
      </c>
      <c r="AB39" s="35"/>
      <c r="AC39" s="35"/>
      <c r="AD39" s="35"/>
      <c r="AE39" s="35"/>
      <c r="AF39" s="35"/>
      <c r="AG39" s="35"/>
      <c r="AH39" s="35"/>
      <c r="AI39" s="35"/>
      <c r="AJ39" s="35"/>
      <c r="AK39" s="35"/>
    </row>
    <row r="40" spans="12:37" x14ac:dyDescent="0.3">
      <c r="L40" s="30"/>
      <c r="M40" s="36"/>
      <c r="N40" s="36"/>
      <c r="O40" s="36"/>
      <c r="P40" s="36"/>
      <c r="Q40" s="36"/>
      <c r="R40" s="36"/>
      <c r="S40" s="36"/>
      <c r="T40" s="36"/>
      <c r="U40" s="36"/>
      <c r="V40" s="36"/>
      <c r="W40" s="36"/>
      <c r="Y40" s="30"/>
      <c r="Z40" s="30"/>
      <c r="AA40" s="35"/>
      <c r="AB40" s="35"/>
      <c r="AC40" s="35"/>
      <c r="AD40" s="35"/>
      <c r="AE40" s="35"/>
      <c r="AF40" s="35"/>
      <c r="AG40" s="35"/>
      <c r="AH40" s="35"/>
      <c r="AI40" s="35"/>
      <c r="AJ40" s="35"/>
      <c r="AK40" s="35"/>
    </row>
    <row r="41" spans="12:37" x14ac:dyDescent="0.3">
      <c r="L41" s="30"/>
      <c r="M41" s="36"/>
      <c r="N41" s="36"/>
      <c r="O41" s="36"/>
      <c r="P41" s="36"/>
      <c r="Q41" s="36"/>
      <c r="R41" s="36"/>
      <c r="S41" s="36"/>
      <c r="T41" s="36"/>
      <c r="U41" s="36"/>
      <c r="V41" s="36"/>
      <c r="W41" s="36"/>
      <c r="Y41" s="30"/>
      <c r="Z41" s="30"/>
      <c r="AA41" s="35"/>
      <c r="AB41" s="35"/>
      <c r="AC41" s="35"/>
      <c r="AD41" s="35"/>
      <c r="AE41" s="35"/>
      <c r="AF41" s="35"/>
      <c r="AG41" s="35"/>
      <c r="AH41" s="35"/>
      <c r="AI41" s="35"/>
      <c r="AJ41" s="35"/>
      <c r="AK41" s="35"/>
    </row>
    <row r="42" spans="12:37" x14ac:dyDescent="0.3">
      <c r="L42" s="30"/>
      <c r="M42" s="36"/>
      <c r="N42" s="36"/>
      <c r="O42" s="36"/>
      <c r="P42" s="36"/>
      <c r="Q42" s="36"/>
      <c r="R42" s="36"/>
      <c r="S42" s="36"/>
      <c r="T42" s="36"/>
      <c r="U42" s="36"/>
      <c r="V42" s="36"/>
      <c r="W42" s="36"/>
      <c r="Y42" s="30"/>
      <c r="Z42" s="30"/>
      <c r="AA42" s="35"/>
      <c r="AB42" s="35"/>
      <c r="AC42" s="35"/>
      <c r="AD42" s="35"/>
      <c r="AE42" s="35"/>
      <c r="AF42" s="35"/>
      <c r="AG42" s="35"/>
      <c r="AH42" s="35"/>
      <c r="AI42" s="35"/>
      <c r="AJ42" s="35"/>
      <c r="AK42" s="35"/>
    </row>
    <row r="43" spans="12:37" x14ac:dyDescent="0.3">
      <c r="L43" s="30"/>
      <c r="M43" s="36"/>
      <c r="N43" s="36"/>
      <c r="O43" s="36"/>
      <c r="P43" s="36"/>
      <c r="Q43" s="36"/>
      <c r="R43" s="36"/>
      <c r="S43" s="36"/>
      <c r="T43" s="36"/>
      <c r="U43" s="36"/>
      <c r="V43" s="36"/>
      <c r="W43" s="36"/>
      <c r="Y43" s="30"/>
      <c r="Z43" s="30"/>
      <c r="AA43" s="35"/>
      <c r="AB43" s="35"/>
      <c r="AC43" s="35"/>
      <c r="AD43" s="35"/>
      <c r="AE43" s="35"/>
      <c r="AF43" s="35"/>
      <c r="AG43" s="35"/>
      <c r="AH43" s="35"/>
      <c r="AI43" s="35"/>
      <c r="AJ43" s="35"/>
      <c r="AK43" s="35"/>
    </row>
    <row r="44" spans="12:37" x14ac:dyDescent="0.3">
      <c r="L44" s="30"/>
      <c r="M44" s="36"/>
      <c r="N44" s="36"/>
      <c r="O44" s="36"/>
      <c r="P44" s="36"/>
      <c r="Q44" s="36"/>
      <c r="R44" s="36"/>
      <c r="S44" s="36"/>
      <c r="T44" s="36"/>
      <c r="U44" s="36"/>
      <c r="V44" s="36"/>
      <c r="W44" s="36"/>
      <c r="Y44" s="30"/>
      <c r="Z44" s="30"/>
      <c r="AA44" s="35"/>
      <c r="AB44" s="35"/>
      <c r="AC44" s="35"/>
      <c r="AD44" s="35"/>
      <c r="AE44" s="35"/>
      <c r="AF44" s="35"/>
      <c r="AG44" s="35"/>
      <c r="AH44" s="35"/>
      <c r="AI44" s="35"/>
      <c r="AJ44" s="35"/>
      <c r="AK44" s="35"/>
    </row>
    <row r="45" spans="12:37" x14ac:dyDescent="0.3">
      <c r="L45" s="30">
        <v>10</v>
      </c>
      <c r="M45" s="37" t="s">
        <v>147</v>
      </c>
      <c r="N45" s="37"/>
      <c r="O45" s="37"/>
      <c r="P45" s="37"/>
      <c r="Q45" s="37"/>
      <c r="R45" s="37"/>
      <c r="S45" s="37"/>
      <c r="T45" s="37"/>
      <c r="U45" s="37"/>
      <c r="V45" s="37"/>
      <c r="W45" s="37"/>
      <c r="Y45" s="30"/>
      <c r="Z45" s="30"/>
      <c r="AA45" s="35"/>
      <c r="AB45" s="35"/>
      <c r="AC45" s="35"/>
      <c r="AD45" s="35"/>
      <c r="AE45" s="35"/>
      <c r="AF45" s="35"/>
      <c r="AG45" s="35"/>
      <c r="AH45" s="35"/>
      <c r="AI45" s="35"/>
      <c r="AJ45" s="35"/>
      <c r="AK45" s="35"/>
    </row>
    <row r="46" spans="12:37" x14ac:dyDescent="0.3">
      <c r="L46" s="30"/>
      <c r="M46" s="31" t="s">
        <v>168</v>
      </c>
      <c r="N46" s="31"/>
      <c r="O46" s="31"/>
      <c r="P46" s="31"/>
      <c r="Q46" s="31"/>
      <c r="R46" s="31"/>
      <c r="S46" s="31"/>
      <c r="T46" s="31"/>
      <c r="U46" s="31"/>
      <c r="V46" s="31"/>
      <c r="W46" s="31"/>
      <c r="Y46" s="30"/>
      <c r="Z46" s="30"/>
      <c r="AA46" s="35"/>
      <c r="AB46" s="35"/>
      <c r="AC46" s="35"/>
      <c r="AD46" s="35"/>
      <c r="AE46" s="35"/>
      <c r="AF46" s="35"/>
      <c r="AG46" s="35"/>
      <c r="AH46" s="35"/>
      <c r="AI46" s="35"/>
      <c r="AJ46" s="35"/>
      <c r="AK46" s="35"/>
    </row>
    <row r="47" spans="12:37" x14ac:dyDescent="0.3">
      <c r="L47" s="30">
        <v>11</v>
      </c>
      <c r="M47" s="37" t="s">
        <v>148</v>
      </c>
      <c r="N47" s="37"/>
      <c r="O47" s="37"/>
      <c r="P47" s="37"/>
      <c r="Q47" s="37"/>
      <c r="R47" s="37"/>
      <c r="S47" s="37"/>
      <c r="T47" s="37"/>
      <c r="U47" s="37"/>
      <c r="V47" s="37"/>
      <c r="W47" s="37"/>
      <c r="Y47" s="30"/>
      <c r="Z47" s="30"/>
      <c r="AA47" s="35"/>
      <c r="AB47" s="35"/>
      <c r="AC47" s="35"/>
      <c r="AD47" s="35"/>
      <c r="AE47" s="35"/>
      <c r="AF47" s="35"/>
      <c r="AG47" s="35"/>
      <c r="AH47" s="35"/>
      <c r="AI47" s="35"/>
      <c r="AJ47" s="35"/>
      <c r="AK47" s="35"/>
    </row>
    <row r="48" spans="12:37" ht="15" customHeight="1" x14ac:dyDescent="0.3">
      <c r="L48" s="30"/>
      <c r="M48" s="36" t="s">
        <v>169</v>
      </c>
      <c r="N48" s="36"/>
      <c r="O48" s="36"/>
      <c r="P48" s="36"/>
      <c r="Q48" s="36"/>
      <c r="R48" s="36"/>
      <c r="S48" s="36"/>
      <c r="T48" s="36"/>
      <c r="U48" s="36"/>
      <c r="V48" s="36"/>
      <c r="W48" s="36"/>
      <c r="Y48" s="30"/>
      <c r="Z48" s="30"/>
      <c r="AA48" s="35"/>
      <c r="AB48" s="35"/>
      <c r="AC48" s="35"/>
      <c r="AD48" s="35"/>
      <c r="AE48" s="35"/>
      <c r="AF48" s="35"/>
      <c r="AG48" s="35"/>
      <c r="AH48" s="35"/>
      <c r="AI48" s="35"/>
      <c r="AJ48" s="35"/>
      <c r="AK48" s="35"/>
    </row>
    <row r="49" spans="12:37" x14ac:dyDescent="0.3">
      <c r="L49" s="30"/>
      <c r="M49" s="36"/>
      <c r="N49" s="36"/>
      <c r="O49" s="36"/>
      <c r="P49" s="36"/>
      <c r="Q49" s="36"/>
      <c r="R49" s="36"/>
      <c r="S49" s="36"/>
      <c r="T49" s="36"/>
      <c r="U49" s="36"/>
      <c r="V49" s="36"/>
      <c r="W49" s="36"/>
      <c r="Y49" s="30"/>
      <c r="Z49" s="30"/>
      <c r="AA49" s="35"/>
      <c r="AB49" s="35"/>
      <c r="AC49" s="35"/>
      <c r="AD49" s="35"/>
      <c r="AE49" s="35"/>
      <c r="AF49" s="35"/>
      <c r="AG49" s="35"/>
      <c r="AH49" s="35"/>
      <c r="AI49" s="35"/>
      <c r="AJ49" s="35"/>
      <c r="AK49" s="35"/>
    </row>
    <row r="50" spans="12:37" x14ac:dyDescent="0.3">
      <c r="L50" s="30"/>
      <c r="M50" s="36"/>
      <c r="N50" s="36"/>
      <c r="O50" s="36"/>
      <c r="P50" s="36"/>
      <c r="Q50" s="36"/>
      <c r="R50" s="36"/>
      <c r="S50" s="36"/>
      <c r="T50" s="36"/>
      <c r="U50" s="36"/>
      <c r="V50" s="36"/>
      <c r="W50" s="36"/>
      <c r="Y50" s="30"/>
      <c r="Z50" s="30"/>
      <c r="AA50" s="35"/>
      <c r="AB50" s="35"/>
      <c r="AC50" s="35"/>
      <c r="AD50" s="35"/>
      <c r="AE50" s="35"/>
      <c r="AF50" s="35"/>
      <c r="AG50" s="35"/>
      <c r="AH50" s="35"/>
      <c r="AI50" s="35"/>
      <c r="AJ50" s="35"/>
      <c r="AK50" s="35"/>
    </row>
    <row r="51" spans="12:37" x14ac:dyDescent="0.3">
      <c r="L51" s="30">
        <v>12</v>
      </c>
      <c r="M51" s="37" t="s">
        <v>150</v>
      </c>
      <c r="N51" s="37"/>
      <c r="O51" s="37"/>
      <c r="P51" s="37"/>
      <c r="Q51" s="37"/>
      <c r="R51" s="37"/>
      <c r="S51" s="37"/>
      <c r="T51" s="37"/>
      <c r="U51" s="37"/>
      <c r="V51" s="37"/>
      <c r="W51" s="37"/>
      <c r="Y51" s="30"/>
      <c r="Z51" s="30"/>
      <c r="AA51" s="35"/>
      <c r="AB51" s="35"/>
      <c r="AC51" s="35"/>
      <c r="AD51" s="35"/>
      <c r="AE51" s="35"/>
      <c r="AF51" s="35"/>
      <c r="AG51" s="35"/>
      <c r="AH51" s="35"/>
      <c r="AI51" s="35"/>
      <c r="AJ51" s="35"/>
      <c r="AK51" s="35"/>
    </row>
    <row r="52" spans="12:37" ht="15" customHeight="1" x14ac:dyDescent="0.3">
      <c r="L52" s="30"/>
      <c r="M52" s="36" t="s">
        <v>170</v>
      </c>
      <c r="N52" s="36"/>
      <c r="O52" s="36"/>
      <c r="P52" s="36"/>
      <c r="Q52" s="36"/>
      <c r="R52" s="36"/>
      <c r="S52" s="36"/>
      <c r="T52" s="36"/>
      <c r="U52" s="36"/>
      <c r="V52" s="36"/>
      <c r="W52" s="36"/>
      <c r="Y52" s="30"/>
      <c r="Z52" s="30"/>
      <c r="AA52" s="35"/>
      <c r="AB52" s="35"/>
      <c r="AC52" s="35"/>
      <c r="AD52" s="35"/>
      <c r="AE52" s="35"/>
      <c r="AF52" s="35"/>
      <c r="AG52" s="35"/>
      <c r="AH52" s="35"/>
      <c r="AI52" s="35"/>
      <c r="AJ52" s="35"/>
      <c r="AK52" s="35"/>
    </row>
    <row r="53" spans="12:37" x14ac:dyDescent="0.3">
      <c r="L53" s="30"/>
      <c r="M53" s="36"/>
      <c r="N53" s="36"/>
      <c r="O53" s="36"/>
      <c r="P53" s="36"/>
      <c r="Q53" s="36"/>
      <c r="R53" s="36"/>
      <c r="S53" s="36"/>
      <c r="T53" s="36"/>
      <c r="U53" s="36"/>
      <c r="V53" s="36"/>
      <c r="W53" s="36"/>
      <c r="Y53" s="30"/>
      <c r="Z53" s="30"/>
      <c r="AA53" s="35"/>
      <c r="AB53" s="35"/>
      <c r="AC53" s="35"/>
      <c r="AD53" s="35"/>
      <c r="AE53" s="35"/>
      <c r="AF53" s="35"/>
      <c r="AG53" s="35"/>
      <c r="AH53" s="35"/>
      <c r="AI53" s="35"/>
      <c r="AJ53" s="35"/>
      <c r="AK53" s="35"/>
    </row>
    <row r="54" spans="12:37" x14ac:dyDescent="0.3">
      <c r="L54" s="30"/>
      <c r="M54" s="36"/>
      <c r="N54" s="36"/>
      <c r="O54" s="36"/>
      <c r="P54" s="36"/>
      <c r="Q54" s="36"/>
      <c r="R54" s="36"/>
      <c r="S54" s="36"/>
      <c r="T54" s="36"/>
      <c r="U54" s="36"/>
      <c r="V54" s="36"/>
      <c r="W54" s="36"/>
      <c r="Y54" s="30"/>
      <c r="Z54" s="30"/>
      <c r="AA54" s="35"/>
      <c r="AB54" s="35"/>
      <c r="AC54" s="35"/>
      <c r="AD54" s="35"/>
      <c r="AE54" s="35"/>
      <c r="AF54" s="35"/>
      <c r="AG54" s="35"/>
      <c r="AH54" s="35"/>
      <c r="AI54" s="35"/>
      <c r="AJ54" s="35"/>
      <c r="AK54" s="35"/>
    </row>
    <row r="55" spans="12:37" x14ac:dyDescent="0.3">
      <c r="L55" s="30"/>
      <c r="M55" s="36"/>
      <c r="N55" s="36"/>
      <c r="O55" s="36"/>
      <c r="P55" s="36"/>
      <c r="Q55" s="36"/>
      <c r="R55" s="36"/>
      <c r="S55" s="36"/>
      <c r="T55" s="36"/>
      <c r="U55" s="36"/>
      <c r="V55" s="36"/>
      <c r="W55" s="36"/>
      <c r="Y55" s="30"/>
      <c r="Z55" s="30"/>
      <c r="AA55" s="35"/>
      <c r="AB55" s="35"/>
      <c r="AC55" s="35"/>
      <c r="AD55" s="35"/>
      <c r="AE55" s="35"/>
      <c r="AF55" s="35"/>
      <c r="AG55" s="35"/>
      <c r="AH55" s="35"/>
      <c r="AI55" s="35"/>
      <c r="AJ55" s="35"/>
      <c r="AK55" s="35"/>
    </row>
    <row r="56" spans="12:37" x14ac:dyDescent="0.3">
      <c r="Y56" s="30"/>
      <c r="Z56" s="30"/>
      <c r="AA56" s="35"/>
      <c r="AB56" s="35"/>
      <c r="AC56" s="35"/>
      <c r="AD56" s="35"/>
      <c r="AE56" s="35"/>
      <c r="AF56" s="35"/>
      <c r="AG56" s="35"/>
      <c r="AH56" s="35"/>
      <c r="AI56" s="35"/>
      <c r="AJ56" s="35"/>
      <c r="AK56" s="35"/>
    </row>
    <row r="57" spans="12:37" x14ac:dyDescent="0.3">
      <c r="Y57" s="30"/>
      <c r="Z57" s="30"/>
      <c r="AA57" s="35"/>
      <c r="AB57" s="35"/>
      <c r="AC57" s="35"/>
      <c r="AD57" s="35"/>
      <c r="AE57" s="35"/>
      <c r="AF57" s="35"/>
      <c r="AG57" s="35"/>
      <c r="AH57" s="35"/>
      <c r="AI57" s="35"/>
      <c r="AJ57" s="35"/>
      <c r="AK57" s="35"/>
    </row>
    <row r="58" spans="12:37" ht="15" customHeight="1" x14ac:dyDescent="0.3">
      <c r="Y58" s="30"/>
      <c r="Z58" s="30" t="s">
        <v>154</v>
      </c>
      <c r="AA58" s="36" t="s">
        <v>192</v>
      </c>
      <c r="AB58" s="36"/>
      <c r="AC58" s="36"/>
      <c r="AD58" s="36"/>
      <c r="AE58" s="36"/>
      <c r="AF58" s="36"/>
      <c r="AG58" s="36"/>
      <c r="AH58" s="36"/>
      <c r="AI58" s="36"/>
      <c r="AJ58" s="36"/>
      <c r="AK58" s="36"/>
    </row>
    <row r="59" spans="12:37" x14ac:dyDescent="0.3">
      <c r="Y59" s="30"/>
      <c r="Z59" s="30"/>
      <c r="AA59" s="36"/>
      <c r="AB59" s="36"/>
      <c r="AC59" s="36"/>
      <c r="AD59" s="36"/>
      <c r="AE59" s="36"/>
      <c r="AF59" s="36"/>
      <c r="AG59" s="36"/>
      <c r="AH59" s="36"/>
      <c r="AI59" s="36"/>
      <c r="AJ59" s="36"/>
      <c r="AK59" s="36"/>
    </row>
    <row r="60" spans="12:37" x14ac:dyDescent="0.3">
      <c r="Y60" s="30"/>
      <c r="Z60" s="30"/>
      <c r="AA60" s="36"/>
      <c r="AB60" s="36"/>
      <c r="AC60" s="36"/>
      <c r="AD60" s="36"/>
      <c r="AE60" s="36"/>
      <c r="AF60" s="36"/>
      <c r="AG60" s="36"/>
      <c r="AH60" s="36"/>
      <c r="AI60" s="36"/>
      <c r="AJ60" s="36"/>
      <c r="AK60" s="36"/>
    </row>
    <row r="61" spans="12:37" x14ac:dyDescent="0.3">
      <c r="Y61" s="30"/>
      <c r="Z61" s="30"/>
      <c r="AA61" s="36"/>
      <c r="AB61" s="36"/>
      <c r="AC61" s="36"/>
      <c r="AD61" s="36"/>
      <c r="AE61" s="36"/>
      <c r="AF61" s="36"/>
      <c r="AG61" s="36"/>
      <c r="AH61" s="36"/>
      <c r="AI61" s="36"/>
      <c r="AJ61" s="36"/>
      <c r="AK61" s="36"/>
    </row>
    <row r="62" spans="12:37" x14ac:dyDescent="0.3">
      <c r="Y62" s="30"/>
      <c r="Z62" s="30"/>
      <c r="AA62" s="36"/>
      <c r="AB62" s="36"/>
      <c r="AC62" s="36"/>
      <c r="AD62" s="36"/>
      <c r="AE62" s="36"/>
      <c r="AF62" s="36"/>
      <c r="AG62" s="36"/>
      <c r="AH62" s="36"/>
      <c r="AI62" s="36"/>
      <c r="AJ62" s="36"/>
      <c r="AK62" s="36"/>
    </row>
    <row r="63" spans="12:37" x14ac:dyDescent="0.3">
      <c r="Y63" s="30">
        <v>4</v>
      </c>
      <c r="Z63" s="37" t="s">
        <v>193</v>
      </c>
      <c r="AA63" s="37"/>
      <c r="AB63" s="37"/>
      <c r="AC63" s="37"/>
      <c r="AD63" s="37"/>
      <c r="AE63" s="37"/>
      <c r="AF63" s="37"/>
      <c r="AG63" s="37"/>
      <c r="AH63" s="37"/>
      <c r="AI63" s="37"/>
      <c r="AJ63" s="37"/>
      <c r="AK63" s="37"/>
    </row>
    <row r="64" spans="12:37" x14ac:dyDescent="0.3">
      <c r="Y64" s="30"/>
      <c r="Z64" s="29" t="s">
        <v>197</v>
      </c>
      <c r="AA64" s="29"/>
      <c r="AB64" s="29"/>
      <c r="AC64" s="29"/>
      <c r="AD64" s="29"/>
      <c r="AE64" s="29"/>
      <c r="AF64" s="29"/>
      <c r="AG64" s="29"/>
      <c r="AH64" s="29"/>
      <c r="AI64" s="29"/>
      <c r="AJ64" s="29"/>
      <c r="AK64" s="29"/>
    </row>
    <row r="65" spans="25:37" x14ac:dyDescent="0.3">
      <c r="Y65" s="30"/>
      <c r="Z65" s="31" t="s">
        <v>194</v>
      </c>
      <c r="AA65" s="31"/>
      <c r="AB65" s="31"/>
      <c r="AC65" s="31"/>
      <c r="AD65" s="31"/>
      <c r="AE65" s="31"/>
      <c r="AF65" s="31"/>
      <c r="AG65" s="31"/>
      <c r="AH65" s="31"/>
      <c r="AI65" s="31"/>
      <c r="AJ65" s="31"/>
      <c r="AK65" s="31"/>
    </row>
    <row r="66" spans="25:37" x14ac:dyDescent="0.3">
      <c r="Y66" s="30"/>
      <c r="Z66" s="30" t="s">
        <v>154</v>
      </c>
      <c r="AA66" s="35" t="s">
        <v>195</v>
      </c>
      <c r="AB66" s="35"/>
      <c r="AC66" s="35"/>
      <c r="AD66" s="35"/>
      <c r="AE66" s="35"/>
      <c r="AF66" s="35"/>
      <c r="AG66" s="35"/>
      <c r="AH66" s="35"/>
      <c r="AI66" s="35"/>
      <c r="AJ66" s="35"/>
      <c r="AK66" s="35"/>
    </row>
    <row r="67" spans="25:37" x14ac:dyDescent="0.3">
      <c r="Y67" s="30"/>
      <c r="Z67" s="30"/>
      <c r="AA67" s="35"/>
      <c r="AB67" s="35"/>
      <c r="AC67" s="35"/>
      <c r="AD67" s="35"/>
      <c r="AE67" s="35"/>
      <c r="AF67" s="35"/>
      <c r="AG67" s="35"/>
      <c r="AH67" s="35"/>
      <c r="AI67" s="35"/>
      <c r="AJ67" s="35"/>
      <c r="AK67" s="35"/>
    </row>
    <row r="68" spans="25:37" x14ac:dyDescent="0.3">
      <c r="Y68" s="30"/>
      <c r="Z68" s="30" t="s">
        <v>154</v>
      </c>
      <c r="AA68" s="35" t="s">
        <v>196</v>
      </c>
      <c r="AB68" s="35"/>
      <c r="AC68" s="35"/>
      <c r="AD68" s="35"/>
      <c r="AE68" s="35"/>
      <c r="AF68" s="35"/>
      <c r="AG68" s="35"/>
      <c r="AH68" s="35"/>
      <c r="AI68" s="35"/>
      <c r="AJ68" s="35"/>
      <c r="AK68" s="35"/>
    </row>
    <row r="69" spans="25:37" x14ac:dyDescent="0.3">
      <c r="Y69" s="30"/>
      <c r="Z69" s="30"/>
      <c r="AA69" s="35"/>
      <c r="AB69" s="35"/>
      <c r="AC69" s="35"/>
      <c r="AD69" s="35"/>
      <c r="AE69" s="35"/>
      <c r="AF69" s="35"/>
      <c r="AG69" s="35"/>
      <c r="AH69" s="35"/>
      <c r="AI69" s="35"/>
      <c r="AJ69" s="35"/>
      <c r="AK69" s="35"/>
    </row>
    <row r="70" spans="25:37" x14ac:dyDescent="0.3">
      <c r="Y70" s="30"/>
      <c r="Z70" s="30" t="s">
        <v>154</v>
      </c>
      <c r="AA70" s="35" t="s">
        <v>198</v>
      </c>
      <c r="AB70" s="35"/>
      <c r="AC70" s="35"/>
      <c r="AD70" s="35"/>
      <c r="AE70" s="35"/>
      <c r="AF70" s="35"/>
      <c r="AG70" s="35"/>
      <c r="AH70" s="35"/>
      <c r="AI70" s="35"/>
      <c r="AJ70" s="35"/>
      <c r="AK70" s="35"/>
    </row>
    <row r="71" spans="25:37" x14ac:dyDescent="0.3">
      <c r="Y71" s="30"/>
      <c r="Z71" s="30"/>
      <c r="AA71" s="35"/>
      <c r="AB71" s="35"/>
      <c r="AC71" s="35"/>
      <c r="AD71" s="35"/>
      <c r="AE71" s="35"/>
      <c r="AF71" s="35"/>
      <c r="AG71" s="35"/>
      <c r="AH71" s="35"/>
      <c r="AI71" s="35"/>
      <c r="AJ71" s="35"/>
      <c r="AK71" s="35"/>
    </row>
    <row r="72" spans="25:37" x14ac:dyDescent="0.3">
      <c r="Y72" s="30"/>
      <c r="Z72" s="29" t="s">
        <v>199</v>
      </c>
      <c r="AA72" s="29"/>
      <c r="AB72" s="29"/>
      <c r="AC72" s="29"/>
      <c r="AD72" s="29"/>
      <c r="AE72" s="29"/>
      <c r="AF72" s="29"/>
      <c r="AG72" s="29"/>
      <c r="AH72" s="29"/>
      <c r="AI72" s="29"/>
      <c r="AJ72" s="29"/>
      <c r="AK72" s="29"/>
    </row>
    <row r="73" spans="25:37" x14ac:dyDescent="0.3">
      <c r="Y73" s="30"/>
      <c r="Z73" s="31" t="s">
        <v>200</v>
      </c>
      <c r="AA73" s="31"/>
      <c r="AB73" s="31"/>
      <c r="AC73" s="31"/>
      <c r="AD73" s="31"/>
      <c r="AE73" s="31"/>
      <c r="AF73" s="31"/>
      <c r="AG73" s="31"/>
      <c r="AH73" s="31"/>
      <c r="AI73" s="31"/>
      <c r="AJ73" s="31"/>
      <c r="AK73" s="31"/>
    </row>
    <row r="74" spans="25:37" x14ac:dyDescent="0.3">
      <c r="Y74" s="30"/>
      <c r="Z74" s="16" t="s">
        <v>154</v>
      </c>
      <c r="AA74" s="29" t="s">
        <v>201</v>
      </c>
      <c r="AB74" s="29"/>
      <c r="AC74" s="29"/>
      <c r="AD74" s="29"/>
      <c r="AE74" s="29"/>
      <c r="AF74" s="29"/>
      <c r="AG74" s="29"/>
      <c r="AH74" s="29"/>
      <c r="AI74" s="29"/>
      <c r="AJ74" s="29"/>
      <c r="AK74" s="29"/>
    </row>
    <row r="75" spans="25:37" x14ac:dyDescent="0.3">
      <c r="Y75" s="30"/>
      <c r="Z75" s="30" t="s">
        <v>154</v>
      </c>
      <c r="AA75" s="35" t="s">
        <v>202</v>
      </c>
      <c r="AB75" s="35"/>
      <c r="AC75" s="35"/>
      <c r="AD75" s="35"/>
      <c r="AE75" s="35"/>
      <c r="AF75" s="35"/>
      <c r="AG75" s="35"/>
      <c r="AH75" s="35"/>
      <c r="AI75" s="35"/>
      <c r="AJ75" s="35"/>
      <c r="AK75" s="35"/>
    </row>
    <row r="76" spans="25:37" x14ac:dyDescent="0.3">
      <c r="Y76" s="30"/>
      <c r="Z76" s="30"/>
      <c r="AA76" s="35"/>
      <c r="AB76" s="35"/>
      <c r="AC76" s="35"/>
      <c r="AD76" s="35"/>
      <c r="AE76" s="35"/>
      <c r="AF76" s="35"/>
      <c r="AG76" s="35"/>
      <c r="AH76" s="35"/>
      <c r="AI76" s="35"/>
      <c r="AJ76" s="35"/>
      <c r="AK76" s="35"/>
    </row>
    <row r="77" spans="25:37" x14ac:dyDescent="0.3">
      <c r="Y77" s="30"/>
      <c r="Z77" s="16" t="s">
        <v>154</v>
      </c>
      <c r="AA77" s="29" t="s">
        <v>203</v>
      </c>
      <c r="AB77" s="29"/>
      <c r="AC77" s="29"/>
      <c r="AD77" s="29"/>
      <c r="AE77" s="29"/>
      <c r="AF77" s="29"/>
      <c r="AG77" s="29"/>
      <c r="AH77" s="29"/>
      <c r="AI77" s="29"/>
      <c r="AJ77" s="29"/>
      <c r="AK77" s="29"/>
    </row>
    <row r="78" spans="25:37" x14ac:dyDescent="0.3">
      <c r="Y78" s="30"/>
      <c r="Z78" s="30" t="s">
        <v>154</v>
      </c>
      <c r="AA78" s="35" t="s">
        <v>204</v>
      </c>
      <c r="AB78" s="35"/>
      <c r="AC78" s="35"/>
      <c r="AD78" s="35"/>
      <c r="AE78" s="35"/>
      <c r="AF78" s="35"/>
      <c r="AG78" s="35"/>
      <c r="AH78" s="35"/>
      <c r="AI78" s="35"/>
      <c r="AJ78" s="35"/>
      <c r="AK78" s="35"/>
    </row>
    <row r="79" spans="25:37" x14ac:dyDescent="0.3">
      <c r="Y79" s="30"/>
      <c r="Z79" s="30"/>
      <c r="AA79" s="35"/>
      <c r="AB79" s="35"/>
      <c r="AC79" s="35"/>
      <c r="AD79" s="35"/>
      <c r="AE79" s="35"/>
      <c r="AF79" s="35"/>
      <c r="AG79" s="35"/>
      <c r="AH79" s="35"/>
      <c r="AI79" s="35"/>
      <c r="AJ79" s="35"/>
      <c r="AK79" s="35"/>
    </row>
    <row r="80" spans="25:37" x14ac:dyDescent="0.3">
      <c r="Y80" s="30"/>
      <c r="Z80" s="30" t="s">
        <v>154</v>
      </c>
      <c r="AA80" s="35" t="s">
        <v>205</v>
      </c>
      <c r="AB80" s="35"/>
      <c r="AC80" s="35"/>
      <c r="AD80" s="35"/>
      <c r="AE80" s="35"/>
      <c r="AF80" s="35"/>
      <c r="AG80" s="35"/>
      <c r="AH80" s="35"/>
      <c r="AI80" s="35"/>
      <c r="AJ80" s="35"/>
      <c r="AK80" s="35"/>
    </row>
    <row r="81" spans="25:37" x14ac:dyDescent="0.3">
      <c r="Y81" s="30"/>
      <c r="Z81" s="30"/>
      <c r="AA81" s="35"/>
      <c r="AB81" s="35"/>
      <c r="AC81" s="35"/>
      <c r="AD81" s="35"/>
      <c r="AE81" s="35"/>
      <c r="AF81" s="35"/>
      <c r="AG81" s="35"/>
      <c r="AH81" s="35"/>
      <c r="AI81" s="35"/>
      <c r="AJ81" s="35"/>
      <c r="AK81" s="35"/>
    </row>
    <row r="82" spans="25:37" x14ac:dyDescent="0.3">
      <c r="Y82" s="30"/>
      <c r="Z82" s="29" t="s">
        <v>206</v>
      </c>
      <c r="AA82" s="29"/>
      <c r="AB82" s="29"/>
      <c r="AC82" s="29"/>
      <c r="AD82" s="29"/>
      <c r="AE82" s="29"/>
      <c r="AF82" s="29"/>
      <c r="AG82" s="29"/>
      <c r="AH82" s="29"/>
      <c r="AI82" s="29"/>
      <c r="AJ82" s="29"/>
      <c r="AK82" s="29"/>
    </row>
    <row r="83" spans="25:37" x14ac:dyDescent="0.3">
      <c r="Y83" s="30"/>
      <c r="Z83" s="30" t="s">
        <v>154</v>
      </c>
      <c r="AA83" s="36" t="s">
        <v>207</v>
      </c>
      <c r="AB83" s="36"/>
      <c r="AC83" s="36"/>
      <c r="AD83" s="36"/>
      <c r="AE83" s="36"/>
      <c r="AF83" s="36"/>
      <c r="AG83" s="36"/>
      <c r="AH83" s="36"/>
      <c r="AI83" s="36"/>
      <c r="AJ83" s="36"/>
      <c r="AK83" s="36"/>
    </row>
    <row r="84" spans="25:37" x14ac:dyDescent="0.3">
      <c r="Y84" s="30"/>
      <c r="Z84" s="30"/>
      <c r="AA84" s="36"/>
      <c r="AB84" s="36"/>
      <c r="AC84" s="36"/>
      <c r="AD84" s="36"/>
      <c r="AE84" s="36"/>
      <c r="AF84" s="36"/>
      <c r="AG84" s="36"/>
      <c r="AH84" s="36"/>
      <c r="AI84" s="36"/>
      <c r="AJ84" s="36"/>
      <c r="AK84" s="36"/>
    </row>
    <row r="85" spans="25:37" x14ac:dyDescent="0.3">
      <c r="Y85" s="30"/>
      <c r="Z85" s="16" t="s">
        <v>154</v>
      </c>
      <c r="AA85" s="29" t="s">
        <v>211</v>
      </c>
      <c r="AB85" s="29"/>
      <c r="AC85" s="29"/>
      <c r="AD85" s="29"/>
      <c r="AE85" s="29"/>
      <c r="AF85" s="29"/>
      <c r="AG85" s="29"/>
      <c r="AH85" s="29"/>
      <c r="AI85" s="29"/>
      <c r="AJ85" s="29"/>
      <c r="AK85" s="29"/>
    </row>
    <row r="86" spans="25:37" x14ac:dyDescent="0.3">
      <c r="Y86" s="30"/>
      <c r="Z86" s="16" t="s">
        <v>154</v>
      </c>
      <c r="AA86" s="29" t="s">
        <v>208</v>
      </c>
      <c r="AB86" s="29"/>
      <c r="AC86" s="29"/>
      <c r="AD86" s="29"/>
      <c r="AE86" s="29"/>
      <c r="AF86" s="29"/>
      <c r="AG86" s="29"/>
      <c r="AH86" s="29"/>
      <c r="AI86" s="29"/>
      <c r="AJ86" s="29"/>
      <c r="AK86" s="29"/>
    </row>
    <row r="87" spans="25:37" x14ac:dyDescent="0.3">
      <c r="Y87" s="30"/>
      <c r="Z87" s="30" t="s">
        <v>154</v>
      </c>
      <c r="AA87" s="35" t="s">
        <v>209</v>
      </c>
      <c r="AB87" s="35"/>
      <c r="AC87" s="35"/>
      <c r="AD87" s="35"/>
      <c r="AE87" s="35"/>
      <c r="AF87" s="35"/>
      <c r="AG87" s="35"/>
      <c r="AH87" s="35"/>
      <c r="AI87" s="35"/>
      <c r="AJ87" s="35"/>
      <c r="AK87" s="35"/>
    </row>
    <row r="88" spans="25:37" x14ac:dyDescent="0.3">
      <c r="Y88" s="30"/>
      <c r="Z88" s="30"/>
      <c r="AA88" s="35"/>
      <c r="AB88" s="35"/>
      <c r="AC88" s="35"/>
      <c r="AD88" s="35"/>
      <c r="AE88" s="35"/>
      <c r="AF88" s="35"/>
      <c r="AG88" s="35"/>
      <c r="AH88" s="35"/>
      <c r="AI88" s="35"/>
      <c r="AJ88" s="35"/>
      <c r="AK88" s="35"/>
    </row>
    <row r="89" spans="25:37" x14ac:dyDescent="0.3">
      <c r="Y89" s="30"/>
      <c r="Z89" s="16" t="s">
        <v>154</v>
      </c>
      <c r="AA89" s="29" t="s">
        <v>210</v>
      </c>
      <c r="AB89" s="29"/>
      <c r="AC89" s="29"/>
      <c r="AD89" s="29"/>
      <c r="AE89" s="29"/>
      <c r="AF89" s="29"/>
      <c r="AG89" s="29"/>
      <c r="AH89" s="29"/>
      <c r="AI89" s="29"/>
      <c r="AJ89" s="29"/>
      <c r="AK89" s="29"/>
    </row>
  </sheetData>
  <mergeCells count="111">
    <mergeCell ref="L11:W11"/>
    <mergeCell ref="L6:W6"/>
    <mergeCell ref="M13:W14"/>
    <mergeCell ref="L12:L14"/>
    <mergeCell ref="M12:W12"/>
    <mergeCell ref="L7:W7"/>
    <mergeCell ref="A18:E18"/>
    <mergeCell ref="A19:A20"/>
    <mergeCell ref="B19:B20"/>
    <mergeCell ref="C19:C20"/>
    <mergeCell ref="D19:D20"/>
    <mergeCell ref="E19:E20"/>
    <mergeCell ref="M16:W17"/>
    <mergeCell ref="L15:L17"/>
    <mergeCell ref="A6:J6"/>
    <mergeCell ref="A7:J7"/>
    <mergeCell ref="M8:W8"/>
    <mergeCell ref="M9:W9"/>
    <mergeCell ref="A8:J15"/>
    <mergeCell ref="M10:W10"/>
    <mergeCell ref="M15:W15"/>
    <mergeCell ref="M24:W24"/>
    <mergeCell ref="M25:W26"/>
    <mergeCell ref="L18:L20"/>
    <mergeCell ref="M27:W27"/>
    <mergeCell ref="M28:W29"/>
    <mergeCell ref="L27:L29"/>
    <mergeCell ref="M22:W22"/>
    <mergeCell ref="M23:W23"/>
    <mergeCell ref="L21:L23"/>
    <mergeCell ref="M21:W21"/>
    <mergeCell ref="L24:L26"/>
    <mergeCell ref="M19:W20"/>
    <mergeCell ref="M18:W18"/>
    <mergeCell ref="L30:L35"/>
    <mergeCell ref="M36:W36"/>
    <mergeCell ref="M37:W37"/>
    <mergeCell ref="L36:L37"/>
    <mergeCell ref="M39:W44"/>
    <mergeCell ref="M38:W38"/>
    <mergeCell ref="L38:L44"/>
    <mergeCell ref="M30:W30"/>
    <mergeCell ref="M31:W32"/>
    <mergeCell ref="M33:W35"/>
    <mergeCell ref="M52:W55"/>
    <mergeCell ref="L51:L55"/>
    <mergeCell ref="M51:W51"/>
    <mergeCell ref="M45:W45"/>
    <mergeCell ref="M46:W46"/>
    <mergeCell ref="L45:L46"/>
    <mergeCell ref="M47:W47"/>
    <mergeCell ref="M48:W50"/>
    <mergeCell ref="L47:L50"/>
    <mergeCell ref="Y11:Y22"/>
    <mergeCell ref="AA13:AK14"/>
    <mergeCell ref="Z13:Z14"/>
    <mergeCell ref="Z11:AK11"/>
    <mergeCell ref="Z12:AK12"/>
    <mergeCell ref="AA15:AK15"/>
    <mergeCell ref="Y6:AK6"/>
    <mergeCell ref="Y7:AK7"/>
    <mergeCell ref="Y8:AK9"/>
    <mergeCell ref="AA16:AK22"/>
    <mergeCell ref="Z16:Z22"/>
    <mergeCell ref="Z35:AK35"/>
    <mergeCell ref="AA28:AK28"/>
    <mergeCell ref="Z70:Z71"/>
    <mergeCell ref="Z64:AK64"/>
    <mergeCell ref="Y35:Y62"/>
    <mergeCell ref="Z65:AK65"/>
    <mergeCell ref="Z63:AK63"/>
    <mergeCell ref="AA66:AK67"/>
    <mergeCell ref="AA68:AK69"/>
    <mergeCell ref="AA58:AK62"/>
    <mergeCell ref="Z39:Z57"/>
    <mergeCell ref="Z58:Z62"/>
    <mergeCell ref="Z37:Z38"/>
    <mergeCell ref="AA39:AK57"/>
    <mergeCell ref="Z36:AK36"/>
    <mergeCell ref="AA37:AK38"/>
    <mergeCell ref="Y23:Y34"/>
    <mergeCell ref="Z23:AK23"/>
    <mergeCell ref="Z24:AK25"/>
    <mergeCell ref="Z26:Z27"/>
    <mergeCell ref="AA26:AK27"/>
    <mergeCell ref="AA29:AK34"/>
    <mergeCell ref="Z29:Z34"/>
    <mergeCell ref="AA89:AK89"/>
    <mergeCell ref="Y63:Y89"/>
    <mergeCell ref="Y10:AK10"/>
    <mergeCell ref="A1:AK3"/>
    <mergeCell ref="AA87:AK88"/>
    <mergeCell ref="Z83:Z84"/>
    <mergeCell ref="Z87:Z88"/>
    <mergeCell ref="AA74:AK74"/>
    <mergeCell ref="AA77:AK77"/>
    <mergeCell ref="AA85:AK85"/>
    <mergeCell ref="AA86:AK86"/>
    <mergeCell ref="Z82:AK82"/>
    <mergeCell ref="Z75:Z76"/>
    <mergeCell ref="Z78:Z79"/>
    <mergeCell ref="Z80:Z81"/>
    <mergeCell ref="AA83:AK84"/>
    <mergeCell ref="Z72:AK72"/>
    <mergeCell ref="Z73:AK73"/>
    <mergeCell ref="AA75:AK76"/>
    <mergeCell ref="AA78:AK79"/>
    <mergeCell ref="AA80:AK81"/>
    <mergeCell ref="AA70:AK71"/>
    <mergeCell ref="Z66:Z67"/>
    <mergeCell ref="Z68:Z6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5"/>
  <sheetViews>
    <sheetView showGridLines="0" zoomScale="80" zoomScaleNormal="80" workbookViewId="0">
      <selection activeCell="I24" sqref="I24"/>
    </sheetView>
  </sheetViews>
  <sheetFormatPr defaultRowHeight="14.4" x14ac:dyDescent="0.3"/>
  <cols>
    <col min="1" max="1" width="5.5546875" customWidth="1"/>
    <col min="2" max="2" width="15.88671875" bestFit="1" customWidth="1"/>
    <col min="3" max="3" width="21.33203125" customWidth="1"/>
    <col min="4" max="4" width="16" customWidth="1"/>
    <col min="5" max="5" width="16.44140625" customWidth="1"/>
    <col min="6" max="6" width="19.109375" bestFit="1" customWidth="1"/>
    <col min="7" max="9" width="12.88671875" customWidth="1"/>
    <col min="10" max="10" width="18.88671875" customWidth="1"/>
    <col min="11" max="11" width="15" customWidth="1"/>
    <col min="12" max="12" width="10.109375" customWidth="1"/>
    <col min="13" max="15" width="16.88671875" customWidth="1"/>
    <col min="16" max="17" width="15.109375" customWidth="1"/>
  </cols>
  <sheetData>
    <row r="1" spans="1:17" x14ac:dyDescent="0.3">
      <c r="A1" s="52" t="s">
        <v>171</v>
      </c>
      <c r="B1" s="52"/>
      <c r="C1" s="52"/>
      <c r="D1" s="52"/>
      <c r="E1" s="52"/>
      <c r="F1" s="52"/>
      <c r="G1" s="52"/>
      <c r="H1" s="52"/>
      <c r="I1" s="52"/>
      <c r="J1" s="52"/>
      <c r="K1" s="52"/>
      <c r="L1" s="52"/>
      <c r="M1" s="52"/>
      <c r="N1" s="52"/>
      <c r="O1" s="52"/>
      <c r="P1" s="52"/>
      <c r="Q1" s="52"/>
    </row>
    <row r="2" spans="1:17" x14ac:dyDescent="0.3">
      <c r="A2" s="53" t="s">
        <v>9</v>
      </c>
      <c r="B2" s="53"/>
      <c r="C2" s="53"/>
      <c r="D2" s="53"/>
      <c r="E2" s="53"/>
      <c r="F2" s="53"/>
      <c r="G2" s="53"/>
      <c r="H2" s="53"/>
      <c r="I2" s="53"/>
      <c r="J2" s="53"/>
      <c r="K2" s="53"/>
      <c r="L2" s="53"/>
      <c r="M2" s="53"/>
      <c r="N2" s="53"/>
      <c r="O2" s="53"/>
      <c r="P2" s="53"/>
      <c r="Q2" s="53"/>
    </row>
    <row r="5" spans="1:17" ht="36" customHeight="1" x14ac:dyDescent="0.3">
      <c r="A5" s="14" t="s">
        <v>70</v>
      </c>
      <c r="B5" s="14" t="s">
        <v>73</v>
      </c>
      <c r="C5" s="14" t="s">
        <v>71</v>
      </c>
      <c r="D5" s="14" t="s">
        <v>72</v>
      </c>
      <c r="E5" s="14" t="s">
        <v>173</v>
      </c>
      <c r="F5" s="14" t="s">
        <v>139</v>
      </c>
      <c r="G5" s="14" t="s">
        <v>140</v>
      </c>
      <c r="H5" s="14" t="s">
        <v>141</v>
      </c>
      <c r="I5" s="14" t="s">
        <v>149</v>
      </c>
      <c r="J5" s="14" t="s">
        <v>146</v>
      </c>
      <c r="K5" s="14" t="s">
        <v>142</v>
      </c>
      <c r="L5" s="14" t="s">
        <v>143</v>
      </c>
      <c r="M5" s="15" t="s">
        <v>145</v>
      </c>
      <c r="N5" s="14" t="s">
        <v>144</v>
      </c>
      <c r="O5" s="14" t="s">
        <v>147</v>
      </c>
      <c r="P5" s="14" t="s">
        <v>148</v>
      </c>
      <c r="Q5" s="14" t="s">
        <v>150</v>
      </c>
    </row>
    <row r="6" spans="1:17" x14ac:dyDescent="0.3">
      <c r="A6" s="11">
        <v>1</v>
      </c>
      <c r="B6" s="12" t="s">
        <v>74</v>
      </c>
      <c r="C6" s="12" t="s">
        <v>12</v>
      </c>
      <c r="D6" s="18">
        <v>46023</v>
      </c>
      <c r="E6" s="11">
        <v>18</v>
      </c>
      <c r="F6" s="19" t="str">
        <f>VLOOKUP(MID(B6,7,5),'Data Acuan'!$A$19:$E$25,2,0)</f>
        <v>Jakarta – Bali</v>
      </c>
      <c r="G6" s="20">
        <f>VLOOKUP(MID(B6,7,5),'Data Acuan'!$A$19:$E$25,3,0)</f>
        <v>0.25</v>
      </c>
      <c r="H6" s="20">
        <f>VLOOKUP(MID(B6,7,5),'Data Acuan'!$A$19:$E$25,4,0)</f>
        <v>0.33333333333333331</v>
      </c>
      <c r="I6" s="20">
        <f>H6-G6</f>
        <v>8.3333333333333315E-2</v>
      </c>
      <c r="J6" s="21">
        <f>VLOOKUP(MID(B6,7,5),'Data Acuan'!$A$19:$E$25,5,0)</f>
        <v>1200000</v>
      </c>
      <c r="K6" s="19" t="str">
        <f>RIGHT(B6,1)</f>
        <v>E</v>
      </c>
      <c r="L6" s="19">
        <f>HLOOKUP(K6,'Data Acuan'!$H$19:$J$21,3,0)</f>
        <v>1</v>
      </c>
      <c r="M6" s="22">
        <f>J6*L6</f>
        <v>1200000</v>
      </c>
      <c r="N6" s="23" t="str">
        <f>IF(E6&gt;=40,"800000",IF(E6&gt;=35,"500000",IF(E6&gt;=30,"300000",IF(E6&gt;=25,"150000","0"))))</f>
        <v>0</v>
      </c>
      <c r="O6" s="22">
        <f>M6+N6</f>
        <v>1200000</v>
      </c>
      <c r="P6" s="19" t="str">
        <f>IF(E6&lt;=20,"Gratis","Berbayar")</f>
        <v>Gratis</v>
      </c>
      <c r="Q6" s="19" t="str">
        <f>IF(I6&gt;TIME(1,30,0),"Jarak Jauh","Jarak Dekat")</f>
        <v>Jarak Jauh</v>
      </c>
    </row>
    <row r="7" spans="1:17" x14ac:dyDescent="0.3">
      <c r="A7" s="11">
        <v>2</v>
      </c>
      <c r="B7" s="12" t="s">
        <v>75</v>
      </c>
      <c r="C7" s="12" t="s">
        <v>15</v>
      </c>
      <c r="D7" s="18">
        <v>46023</v>
      </c>
      <c r="E7" s="11">
        <v>22</v>
      </c>
      <c r="F7" s="19" t="str">
        <f>VLOOKUP(MID(B7,7,5),'Data Acuan'!$A$19:$E$25,2)</f>
        <v>Jakarta – Surabaya</v>
      </c>
      <c r="G7" s="20">
        <f>VLOOKUP(MID(B7,7,5),'Data Acuan'!$A$19:$E$25,3,0)</f>
        <v>0.3125</v>
      </c>
      <c r="H7" s="20">
        <f>VLOOKUP(MID(B7,7,5),'Data Acuan'!$A$19:$E$25,4,0)</f>
        <v>0.375</v>
      </c>
      <c r="I7" s="20">
        <f t="shared" ref="I7:I55" si="0">H7-G7</f>
        <v>6.25E-2</v>
      </c>
      <c r="J7" s="21">
        <f>VLOOKUP(MID(B7,7,5),'Data Acuan'!$A$19:$E$25,5,0)</f>
        <v>900000</v>
      </c>
      <c r="K7" s="19" t="str">
        <f t="shared" ref="K7:K55" si="1">RIGHT(B7,1)</f>
        <v>B</v>
      </c>
      <c r="L7" s="19">
        <f>HLOOKUP(K7,'Data Acuan'!$H$19:$J$21,3,0)</f>
        <v>1.5</v>
      </c>
      <c r="M7" s="22">
        <f t="shared" ref="M7:M55" si="2">J7*L7</f>
        <v>1350000</v>
      </c>
      <c r="N7" s="23" t="str">
        <f t="shared" ref="N7:N55" si="3">IF(E7&gt;=40,"800000",IF(E7&gt;=35,"500000",IF(E7&gt;=30,"300000",IF(E7&gt;=25,"150000","0"))))</f>
        <v>0</v>
      </c>
      <c r="O7" s="22">
        <f t="shared" ref="O7:O55" si="4">M7+N7</f>
        <v>1350000</v>
      </c>
      <c r="P7" s="19" t="str">
        <f t="shared" ref="P7:P55" si="5">IF(E7&lt;=20,"Gratis","Berbayar")</f>
        <v>Berbayar</v>
      </c>
      <c r="Q7" s="19" t="str">
        <f t="shared" ref="Q7:Q55" si="6">IF(I7&gt;TIME(1,30,0),"Jarak Jauh","Jarak Dekat")</f>
        <v>Jarak Dekat</v>
      </c>
    </row>
    <row r="8" spans="1:17" x14ac:dyDescent="0.3">
      <c r="A8" s="11">
        <v>3</v>
      </c>
      <c r="B8" s="12" t="s">
        <v>76</v>
      </c>
      <c r="C8" s="12" t="s">
        <v>18</v>
      </c>
      <c r="D8" s="18">
        <v>46024</v>
      </c>
      <c r="E8" s="11">
        <v>20</v>
      </c>
      <c r="F8" s="19" t="str">
        <f>VLOOKUP(MID(B8,7,5),'Data Acuan'!$A$19:$E$25,2)</f>
        <v>Jakarta – Medan</v>
      </c>
      <c r="G8" s="20">
        <f>VLOOKUP(MID(B8,7,5),'Data Acuan'!$A$19:$E$25,3,0)</f>
        <v>0.33333333333333331</v>
      </c>
      <c r="H8" s="20">
        <f>VLOOKUP(MID(B8,7,5),'Data Acuan'!$A$19:$E$25,4,0)</f>
        <v>0.4375</v>
      </c>
      <c r="I8" s="20">
        <f t="shared" si="0"/>
        <v>0.10416666666666669</v>
      </c>
      <c r="J8" s="21">
        <f>VLOOKUP(MID(B8,7,5),'Data Acuan'!$A$19:$E$25,5,0)</f>
        <v>1500000</v>
      </c>
      <c r="K8" s="19" t="str">
        <f t="shared" si="1"/>
        <v>E</v>
      </c>
      <c r="L8" s="19">
        <f>HLOOKUP(K8,'Data Acuan'!$H$19:$J$21,3,0)</f>
        <v>1</v>
      </c>
      <c r="M8" s="22">
        <f t="shared" si="2"/>
        <v>1500000</v>
      </c>
      <c r="N8" s="23" t="str">
        <f t="shared" si="3"/>
        <v>0</v>
      </c>
      <c r="O8" s="22">
        <f t="shared" si="4"/>
        <v>1500000</v>
      </c>
      <c r="P8" s="19" t="str">
        <f t="shared" si="5"/>
        <v>Gratis</v>
      </c>
      <c r="Q8" s="19" t="str">
        <f t="shared" si="6"/>
        <v>Jarak Jauh</v>
      </c>
    </row>
    <row r="9" spans="1:17" x14ac:dyDescent="0.3">
      <c r="A9" s="11">
        <v>4</v>
      </c>
      <c r="B9" s="12" t="s">
        <v>77</v>
      </c>
      <c r="C9" s="12" t="s">
        <v>20</v>
      </c>
      <c r="D9" s="18">
        <v>46024</v>
      </c>
      <c r="E9" s="11">
        <v>30</v>
      </c>
      <c r="F9" s="19" t="str">
        <f>VLOOKUP(MID(B9,7,5),'Data Acuan'!$A$19:$E$25,2)</f>
        <v>Jakarta – Makassar</v>
      </c>
      <c r="G9" s="20">
        <f>VLOOKUP(MID(B9,7,5),'Data Acuan'!$A$19:$E$25,3,0)</f>
        <v>0.375</v>
      </c>
      <c r="H9" s="20">
        <f>VLOOKUP(MID(B9,7,5),'Data Acuan'!$A$19:$E$25,4,0)</f>
        <v>0.47916666666666669</v>
      </c>
      <c r="I9" s="20">
        <f t="shared" si="0"/>
        <v>0.10416666666666669</v>
      </c>
      <c r="J9" s="21">
        <f>VLOOKUP(MID(B9,7,5),'Data Acuan'!$A$19:$E$25,5,0)</f>
        <v>1800000</v>
      </c>
      <c r="K9" s="19" t="str">
        <f t="shared" si="1"/>
        <v>F</v>
      </c>
      <c r="L9" s="19">
        <f>HLOOKUP(K9,'Data Acuan'!$H$19:$J$21,3,0)</f>
        <v>2</v>
      </c>
      <c r="M9" s="22">
        <f t="shared" si="2"/>
        <v>3600000</v>
      </c>
      <c r="N9" s="23" t="str">
        <f t="shared" si="3"/>
        <v>300000</v>
      </c>
      <c r="O9" s="22">
        <f t="shared" si="4"/>
        <v>3900000</v>
      </c>
      <c r="P9" s="19" t="str">
        <f t="shared" si="5"/>
        <v>Berbayar</v>
      </c>
      <c r="Q9" s="19" t="str">
        <f t="shared" si="6"/>
        <v>Jarak Jauh</v>
      </c>
    </row>
    <row r="10" spans="1:17" x14ac:dyDescent="0.3">
      <c r="A10" s="11">
        <v>5</v>
      </c>
      <c r="B10" s="12" t="s">
        <v>78</v>
      </c>
      <c r="C10" s="12" t="s">
        <v>23</v>
      </c>
      <c r="D10" s="18">
        <v>46025</v>
      </c>
      <c r="E10" s="11">
        <v>27</v>
      </c>
      <c r="F10" s="19" t="str">
        <f>VLOOKUP(MID(B10,7,5),'Data Acuan'!$A$19:$E$25,2)</f>
        <v>Jakarta – Lombok</v>
      </c>
      <c r="G10" s="20">
        <f>VLOOKUP(MID(B10,7,5),'Data Acuan'!$A$19:$E$25,3,0)</f>
        <v>0.41666666666666669</v>
      </c>
      <c r="H10" s="20">
        <f>VLOOKUP(MID(B10,7,5),'Data Acuan'!$A$19:$E$25,4,0)</f>
        <v>0.5</v>
      </c>
      <c r="I10" s="20">
        <f t="shared" si="0"/>
        <v>8.3333333333333315E-2</v>
      </c>
      <c r="J10" s="21">
        <f>VLOOKUP(MID(B10,7,5),'Data Acuan'!$A$19:$E$25,5,0)</f>
        <v>1300000</v>
      </c>
      <c r="K10" s="19" t="str">
        <f t="shared" si="1"/>
        <v>B</v>
      </c>
      <c r="L10" s="19">
        <f>HLOOKUP(K10,'Data Acuan'!$H$19:$J$21,3,0)</f>
        <v>1.5</v>
      </c>
      <c r="M10" s="22">
        <f t="shared" si="2"/>
        <v>1950000</v>
      </c>
      <c r="N10" s="23" t="str">
        <f t="shared" si="3"/>
        <v>150000</v>
      </c>
      <c r="O10" s="22">
        <f t="shared" si="4"/>
        <v>2100000</v>
      </c>
      <c r="P10" s="19" t="str">
        <f t="shared" si="5"/>
        <v>Berbayar</v>
      </c>
      <c r="Q10" s="19" t="str">
        <f t="shared" si="6"/>
        <v>Jarak Jauh</v>
      </c>
    </row>
    <row r="11" spans="1:17" x14ac:dyDescent="0.3">
      <c r="A11" s="11">
        <v>6</v>
      </c>
      <c r="B11" s="12" t="s">
        <v>79</v>
      </c>
      <c r="C11" s="12" t="s">
        <v>25</v>
      </c>
      <c r="D11" s="18">
        <v>46025</v>
      </c>
      <c r="E11" s="11">
        <v>15</v>
      </c>
      <c r="F11" s="19" t="str">
        <f>VLOOKUP(MID(B11,7,5),'Data Acuan'!$A$19:$E$25,2)</f>
        <v>Jakarta – Bali</v>
      </c>
      <c r="G11" s="20">
        <f>VLOOKUP(MID(B11,7,5),'Data Acuan'!$A$19:$E$25,3,0)</f>
        <v>0.25</v>
      </c>
      <c r="H11" s="20">
        <f>VLOOKUP(MID(B11,7,5),'Data Acuan'!$A$19:$E$25,4,0)</f>
        <v>0.33333333333333331</v>
      </c>
      <c r="I11" s="20">
        <f t="shared" si="0"/>
        <v>8.3333333333333315E-2</v>
      </c>
      <c r="J11" s="21">
        <f>VLOOKUP(MID(B11,7,5),'Data Acuan'!$A$19:$E$25,5,0)</f>
        <v>1200000</v>
      </c>
      <c r="K11" s="19" t="str">
        <f t="shared" si="1"/>
        <v>E</v>
      </c>
      <c r="L11" s="19">
        <f>HLOOKUP(K11,'Data Acuan'!$H$19:$J$21,3,0)</f>
        <v>1</v>
      </c>
      <c r="M11" s="22">
        <f t="shared" si="2"/>
        <v>1200000</v>
      </c>
      <c r="N11" s="23" t="str">
        <f t="shared" si="3"/>
        <v>0</v>
      </c>
      <c r="O11" s="22">
        <f t="shared" si="4"/>
        <v>1200000</v>
      </c>
      <c r="P11" s="19" t="str">
        <f t="shared" si="5"/>
        <v>Gratis</v>
      </c>
      <c r="Q11" s="19" t="str">
        <f t="shared" si="6"/>
        <v>Jarak Jauh</v>
      </c>
    </row>
    <row r="12" spans="1:17" x14ac:dyDescent="0.3">
      <c r="A12" s="11">
        <v>7</v>
      </c>
      <c r="B12" s="12" t="s">
        <v>80</v>
      </c>
      <c r="C12" s="12" t="s">
        <v>26</v>
      </c>
      <c r="D12" s="18">
        <v>46026</v>
      </c>
      <c r="E12" s="11">
        <v>35</v>
      </c>
      <c r="F12" s="19" t="str">
        <f>VLOOKUP(MID(B12,7,5),'Data Acuan'!$A$19:$E$25,2)</f>
        <v>Jakarta – Surabaya</v>
      </c>
      <c r="G12" s="20">
        <f>VLOOKUP(MID(B12,7,5),'Data Acuan'!$A$19:$E$25,3,0)</f>
        <v>0.3125</v>
      </c>
      <c r="H12" s="20">
        <f>VLOOKUP(MID(B12,7,5),'Data Acuan'!$A$19:$E$25,4,0)</f>
        <v>0.375</v>
      </c>
      <c r="I12" s="20">
        <f t="shared" si="0"/>
        <v>6.25E-2</v>
      </c>
      <c r="J12" s="21">
        <f>VLOOKUP(MID(B12,7,5),'Data Acuan'!$A$19:$E$25,5,0)</f>
        <v>900000</v>
      </c>
      <c r="K12" s="19" t="str">
        <f t="shared" si="1"/>
        <v>F</v>
      </c>
      <c r="L12" s="19">
        <f>HLOOKUP(K12,'Data Acuan'!$H$19:$J$21,3,0)</f>
        <v>2</v>
      </c>
      <c r="M12" s="22">
        <f t="shared" si="2"/>
        <v>1800000</v>
      </c>
      <c r="N12" s="23" t="str">
        <f t="shared" si="3"/>
        <v>500000</v>
      </c>
      <c r="O12" s="22">
        <f t="shared" si="4"/>
        <v>2300000</v>
      </c>
      <c r="P12" s="19" t="str">
        <f t="shared" si="5"/>
        <v>Berbayar</v>
      </c>
      <c r="Q12" s="19" t="str">
        <f t="shared" si="6"/>
        <v>Jarak Dekat</v>
      </c>
    </row>
    <row r="13" spans="1:17" x14ac:dyDescent="0.3">
      <c r="A13" s="11">
        <v>8</v>
      </c>
      <c r="B13" s="12" t="s">
        <v>81</v>
      </c>
      <c r="C13" s="12" t="s">
        <v>27</v>
      </c>
      <c r="D13" s="18">
        <v>46026</v>
      </c>
      <c r="E13" s="11">
        <v>21</v>
      </c>
      <c r="F13" s="19" t="str">
        <f>VLOOKUP(MID(B13,7,5),'Data Acuan'!$A$19:$E$25,2)</f>
        <v>Jakarta – Medan</v>
      </c>
      <c r="G13" s="20">
        <f>VLOOKUP(MID(B13,7,5),'Data Acuan'!$A$19:$E$25,3,0)</f>
        <v>0.33333333333333331</v>
      </c>
      <c r="H13" s="20">
        <f>VLOOKUP(MID(B13,7,5),'Data Acuan'!$A$19:$E$25,4,0)</f>
        <v>0.4375</v>
      </c>
      <c r="I13" s="20">
        <f t="shared" si="0"/>
        <v>0.10416666666666669</v>
      </c>
      <c r="J13" s="21">
        <f>VLOOKUP(MID(B13,7,5),'Data Acuan'!$A$19:$E$25,5,0)</f>
        <v>1500000</v>
      </c>
      <c r="K13" s="19" t="str">
        <f t="shared" si="1"/>
        <v>E</v>
      </c>
      <c r="L13" s="19">
        <f>HLOOKUP(K13,'Data Acuan'!$H$19:$J$21,3,0)</f>
        <v>1</v>
      </c>
      <c r="M13" s="22">
        <f t="shared" si="2"/>
        <v>1500000</v>
      </c>
      <c r="N13" s="23" t="str">
        <f t="shared" si="3"/>
        <v>0</v>
      </c>
      <c r="O13" s="22">
        <f t="shared" si="4"/>
        <v>1500000</v>
      </c>
      <c r="P13" s="19" t="str">
        <f t="shared" si="5"/>
        <v>Berbayar</v>
      </c>
      <c r="Q13" s="19" t="str">
        <f t="shared" si="6"/>
        <v>Jarak Jauh</v>
      </c>
    </row>
    <row r="14" spans="1:17" x14ac:dyDescent="0.3">
      <c r="A14" s="11">
        <v>9</v>
      </c>
      <c r="B14" s="12" t="s">
        <v>82</v>
      </c>
      <c r="C14" s="12" t="s">
        <v>28</v>
      </c>
      <c r="D14" s="18">
        <v>46027</v>
      </c>
      <c r="E14" s="11">
        <v>25</v>
      </c>
      <c r="F14" s="19" t="str">
        <f>VLOOKUP(MID(B14,7,5),'Data Acuan'!$A$19:$E$25,2)</f>
        <v>Jakarta – Makassar</v>
      </c>
      <c r="G14" s="20">
        <f>VLOOKUP(MID(B14,7,5),'Data Acuan'!$A$19:$E$25,3,0)</f>
        <v>0.375</v>
      </c>
      <c r="H14" s="20">
        <f>VLOOKUP(MID(B14,7,5),'Data Acuan'!$A$19:$E$25,4,0)</f>
        <v>0.47916666666666669</v>
      </c>
      <c r="I14" s="20">
        <f t="shared" si="0"/>
        <v>0.10416666666666669</v>
      </c>
      <c r="J14" s="21">
        <f>VLOOKUP(MID(B14,7,5),'Data Acuan'!$A$19:$E$25,5,0)</f>
        <v>1800000</v>
      </c>
      <c r="K14" s="19" t="str">
        <f t="shared" si="1"/>
        <v>B</v>
      </c>
      <c r="L14" s="19">
        <f>HLOOKUP(K14,'Data Acuan'!$H$19:$J$21,3,0)</f>
        <v>1.5</v>
      </c>
      <c r="M14" s="22">
        <f t="shared" si="2"/>
        <v>2700000</v>
      </c>
      <c r="N14" s="23" t="str">
        <f t="shared" si="3"/>
        <v>150000</v>
      </c>
      <c r="O14" s="22">
        <f t="shared" si="4"/>
        <v>2850000</v>
      </c>
      <c r="P14" s="19" t="str">
        <f t="shared" si="5"/>
        <v>Berbayar</v>
      </c>
      <c r="Q14" s="19" t="str">
        <f t="shared" si="6"/>
        <v>Jarak Jauh</v>
      </c>
    </row>
    <row r="15" spans="1:17" x14ac:dyDescent="0.3">
      <c r="A15" s="11">
        <v>10</v>
      </c>
      <c r="B15" s="12" t="s">
        <v>83</v>
      </c>
      <c r="C15" s="12" t="s">
        <v>29</v>
      </c>
      <c r="D15" s="18">
        <v>46027</v>
      </c>
      <c r="E15" s="11">
        <v>40</v>
      </c>
      <c r="F15" s="19" t="str">
        <f>VLOOKUP(MID(B15,7,5),'Data Acuan'!$A$19:$E$25,2)</f>
        <v>Jakarta – Lombok</v>
      </c>
      <c r="G15" s="20">
        <f>VLOOKUP(MID(B15,7,5),'Data Acuan'!$A$19:$E$25,3,0)</f>
        <v>0.41666666666666669</v>
      </c>
      <c r="H15" s="20">
        <f>VLOOKUP(MID(B15,7,5),'Data Acuan'!$A$19:$E$25,4,0)</f>
        <v>0.5</v>
      </c>
      <c r="I15" s="20">
        <f t="shared" si="0"/>
        <v>8.3333333333333315E-2</v>
      </c>
      <c r="J15" s="21">
        <f>VLOOKUP(MID(B15,7,5),'Data Acuan'!$A$19:$E$25,5,0)</f>
        <v>1300000</v>
      </c>
      <c r="K15" s="19" t="str">
        <f t="shared" si="1"/>
        <v>F</v>
      </c>
      <c r="L15" s="19">
        <f>HLOOKUP(K15,'Data Acuan'!$H$19:$J$21,3,0)</f>
        <v>2</v>
      </c>
      <c r="M15" s="22">
        <f t="shared" si="2"/>
        <v>2600000</v>
      </c>
      <c r="N15" s="23" t="str">
        <f t="shared" si="3"/>
        <v>800000</v>
      </c>
      <c r="O15" s="22">
        <f t="shared" si="4"/>
        <v>3400000</v>
      </c>
      <c r="P15" s="19" t="str">
        <f t="shared" si="5"/>
        <v>Berbayar</v>
      </c>
      <c r="Q15" s="19" t="str">
        <f t="shared" si="6"/>
        <v>Jarak Jauh</v>
      </c>
    </row>
    <row r="16" spans="1:17" x14ac:dyDescent="0.3">
      <c r="A16" s="11">
        <v>11</v>
      </c>
      <c r="B16" s="12" t="s">
        <v>84</v>
      </c>
      <c r="C16" s="12" t="s">
        <v>30</v>
      </c>
      <c r="D16" s="18">
        <v>46028</v>
      </c>
      <c r="E16" s="11">
        <v>19</v>
      </c>
      <c r="F16" s="19" t="str">
        <f>VLOOKUP(MID(B16,7,5),'Data Acuan'!$A$19:$E$25,2)</f>
        <v>Jakarta – Bali</v>
      </c>
      <c r="G16" s="20">
        <f>VLOOKUP(MID(B16,7,5),'Data Acuan'!$A$19:$E$25,3,0)</f>
        <v>0.25</v>
      </c>
      <c r="H16" s="20">
        <f>VLOOKUP(MID(B16,7,5),'Data Acuan'!$A$19:$E$25,4,0)</f>
        <v>0.33333333333333331</v>
      </c>
      <c r="I16" s="20">
        <f t="shared" si="0"/>
        <v>8.3333333333333315E-2</v>
      </c>
      <c r="J16" s="21">
        <f>VLOOKUP(MID(B16,7,5),'Data Acuan'!$A$19:$E$25,5,0)</f>
        <v>1200000</v>
      </c>
      <c r="K16" s="19" t="str">
        <f t="shared" si="1"/>
        <v>E</v>
      </c>
      <c r="L16" s="19">
        <f>HLOOKUP(K16,'Data Acuan'!$H$19:$J$21,3,0)</f>
        <v>1</v>
      </c>
      <c r="M16" s="22">
        <f t="shared" si="2"/>
        <v>1200000</v>
      </c>
      <c r="N16" s="23" t="str">
        <f t="shared" si="3"/>
        <v>0</v>
      </c>
      <c r="O16" s="22">
        <f t="shared" si="4"/>
        <v>1200000</v>
      </c>
      <c r="P16" s="19" t="str">
        <f t="shared" si="5"/>
        <v>Gratis</v>
      </c>
      <c r="Q16" s="19" t="str">
        <f t="shared" si="6"/>
        <v>Jarak Jauh</v>
      </c>
    </row>
    <row r="17" spans="1:17" x14ac:dyDescent="0.3">
      <c r="A17" s="11">
        <v>12</v>
      </c>
      <c r="B17" s="12" t="s">
        <v>85</v>
      </c>
      <c r="C17" s="12" t="s">
        <v>31</v>
      </c>
      <c r="D17" s="18">
        <v>46028</v>
      </c>
      <c r="E17" s="11">
        <v>28</v>
      </c>
      <c r="F17" s="19" t="str">
        <f>VLOOKUP(MID(B17,7,5),'Data Acuan'!$A$19:$E$25,2)</f>
        <v>Jakarta – Surabaya</v>
      </c>
      <c r="G17" s="20">
        <f>VLOOKUP(MID(B17,7,5),'Data Acuan'!$A$19:$E$25,3,0)</f>
        <v>0.3125</v>
      </c>
      <c r="H17" s="20">
        <f>VLOOKUP(MID(B17,7,5),'Data Acuan'!$A$19:$E$25,4,0)</f>
        <v>0.375</v>
      </c>
      <c r="I17" s="20">
        <f t="shared" si="0"/>
        <v>6.25E-2</v>
      </c>
      <c r="J17" s="21">
        <f>VLOOKUP(MID(B17,7,5),'Data Acuan'!$A$19:$E$25,5,0)</f>
        <v>900000</v>
      </c>
      <c r="K17" s="19" t="str">
        <f t="shared" si="1"/>
        <v>B</v>
      </c>
      <c r="L17" s="19">
        <f>HLOOKUP(K17,'Data Acuan'!$H$19:$J$21,3,0)</f>
        <v>1.5</v>
      </c>
      <c r="M17" s="22">
        <f t="shared" si="2"/>
        <v>1350000</v>
      </c>
      <c r="N17" s="23" t="str">
        <f t="shared" si="3"/>
        <v>150000</v>
      </c>
      <c r="O17" s="22">
        <f t="shared" si="4"/>
        <v>1500000</v>
      </c>
      <c r="P17" s="19" t="str">
        <f t="shared" si="5"/>
        <v>Berbayar</v>
      </c>
      <c r="Q17" s="19" t="str">
        <f t="shared" si="6"/>
        <v>Jarak Dekat</v>
      </c>
    </row>
    <row r="18" spans="1:17" x14ac:dyDescent="0.3">
      <c r="A18" s="11">
        <v>13</v>
      </c>
      <c r="B18" s="12" t="s">
        <v>86</v>
      </c>
      <c r="C18" s="12" t="s">
        <v>32</v>
      </c>
      <c r="D18" s="18">
        <v>46029</v>
      </c>
      <c r="E18" s="11">
        <v>33</v>
      </c>
      <c r="F18" s="19" t="str">
        <f>VLOOKUP(MID(B18,7,5),'Data Acuan'!$A$19:$E$25,2)</f>
        <v>Jakarta – Medan</v>
      </c>
      <c r="G18" s="20">
        <f>VLOOKUP(MID(B18,7,5),'Data Acuan'!$A$19:$E$25,3,0)</f>
        <v>0.33333333333333331</v>
      </c>
      <c r="H18" s="20">
        <f>VLOOKUP(MID(B18,7,5),'Data Acuan'!$A$19:$E$25,4,0)</f>
        <v>0.4375</v>
      </c>
      <c r="I18" s="20">
        <f t="shared" si="0"/>
        <v>0.10416666666666669</v>
      </c>
      <c r="J18" s="21">
        <f>VLOOKUP(MID(B18,7,5),'Data Acuan'!$A$19:$E$25,5,0)</f>
        <v>1500000</v>
      </c>
      <c r="K18" s="19" t="str">
        <f t="shared" si="1"/>
        <v>F</v>
      </c>
      <c r="L18" s="19">
        <f>HLOOKUP(K18,'Data Acuan'!$H$19:$J$21,3,0)</f>
        <v>2</v>
      </c>
      <c r="M18" s="22">
        <f t="shared" si="2"/>
        <v>3000000</v>
      </c>
      <c r="N18" s="23" t="str">
        <f t="shared" si="3"/>
        <v>300000</v>
      </c>
      <c r="O18" s="22">
        <f t="shared" si="4"/>
        <v>3300000</v>
      </c>
      <c r="P18" s="19" t="str">
        <f t="shared" si="5"/>
        <v>Berbayar</v>
      </c>
      <c r="Q18" s="19" t="str">
        <f t="shared" si="6"/>
        <v>Jarak Jauh</v>
      </c>
    </row>
    <row r="19" spans="1:17" x14ac:dyDescent="0.3">
      <c r="A19" s="11">
        <v>14</v>
      </c>
      <c r="B19" s="12" t="s">
        <v>87</v>
      </c>
      <c r="C19" s="12" t="s">
        <v>33</v>
      </c>
      <c r="D19" s="18">
        <v>46029</v>
      </c>
      <c r="E19" s="11">
        <v>20</v>
      </c>
      <c r="F19" s="19" t="str">
        <f>VLOOKUP(MID(B19,7,5),'Data Acuan'!$A$19:$E$25,2)</f>
        <v>Jakarta – Makassar</v>
      </c>
      <c r="G19" s="20">
        <f>VLOOKUP(MID(B19,7,5),'Data Acuan'!$A$19:$E$25,3,0)</f>
        <v>0.375</v>
      </c>
      <c r="H19" s="20">
        <f>VLOOKUP(MID(B19,7,5),'Data Acuan'!$A$19:$E$25,4,0)</f>
        <v>0.47916666666666669</v>
      </c>
      <c r="I19" s="20">
        <f t="shared" si="0"/>
        <v>0.10416666666666669</v>
      </c>
      <c r="J19" s="21">
        <f>VLOOKUP(MID(B19,7,5),'Data Acuan'!$A$19:$E$25,5,0)</f>
        <v>1800000</v>
      </c>
      <c r="K19" s="19" t="str">
        <f t="shared" si="1"/>
        <v>E</v>
      </c>
      <c r="L19" s="19">
        <f>HLOOKUP(K19,'Data Acuan'!$H$19:$J$21,3,0)</f>
        <v>1</v>
      </c>
      <c r="M19" s="22">
        <f t="shared" si="2"/>
        <v>1800000</v>
      </c>
      <c r="N19" s="23" t="str">
        <f t="shared" si="3"/>
        <v>0</v>
      </c>
      <c r="O19" s="22">
        <f t="shared" si="4"/>
        <v>1800000</v>
      </c>
      <c r="P19" s="19" t="str">
        <f t="shared" si="5"/>
        <v>Gratis</v>
      </c>
      <c r="Q19" s="19" t="str">
        <f t="shared" si="6"/>
        <v>Jarak Jauh</v>
      </c>
    </row>
    <row r="20" spans="1:17" x14ac:dyDescent="0.3">
      <c r="A20" s="11">
        <v>15</v>
      </c>
      <c r="B20" s="12" t="s">
        <v>88</v>
      </c>
      <c r="C20" s="12" t="s">
        <v>34</v>
      </c>
      <c r="D20" s="18">
        <v>46030</v>
      </c>
      <c r="E20" s="11">
        <v>24</v>
      </c>
      <c r="F20" s="19" t="str">
        <f>VLOOKUP(MID(B20,7,5),'Data Acuan'!$A$19:$E$25,2)</f>
        <v>Jakarta – Lombok</v>
      </c>
      <c r="G20" s="20">
        <f>VLOOKUP(MID(B20,7,5),'Data Acuan'!$A$19:$E$25,3,0)</f>
        <v>0.41666666666666669</v>
      </c>
      <c r="H20" s="20">
        <f>VLOOKUP(MID(B20,7,5),'Data Acuan'!$A$19:$E$25,4,0)</f>
        <v>0.5</v>
      </c>
      <c r="I20" s="20">
        <f t="shared" si="0"/>
        <v>8.3333333333333315E-2</v>
      </c>
      <c r="J20" s="21">
        <f>VLOOKUP(MID(B20,7,5),'Data Acuan'!$A$19:$E$25,5,0)</f>
        <v>1300000</v>
      </c>
      <c r="K20" s="19" t="str">
        <f t="shared" si="1"/>
        <v>B</v>
      </c>
      <c r="L20" s="19">
        <f>HLOOKUP(K20,'Data Acuan'!$H$19:$J$21,3,0)</f>
        <v>1.5</v>
      </c>
      <c r="M20" s="22">
        <f t="shared" si="2"/>
        <v>1950000</v>
      </c>
      <c r="N20" s="23" t="str">
        <f t="shared" si="3"/>
        <v>0</v>
      </c>
      <c r="O20" s="22">
        <f t="shared" si="4"/>
        <v>1950000</v>
      </c>
      <c r="P20" s="19" t="str">
        <f t="shared" si="5"/>
        <v>Berbayar</v>
      </c>
      <c r="Q20" s="19" t="str">
        <f t="shared" si="6"/>
        <v>Jarak Jauh</v>
      </c>
    </row>
    <row r="21" spans="1:17" x14ac:dyDescent="0.3">
      <c r="A21" s="11">
        <v>16</v>
      </c>
      <c r="B21" s="12" t="s">
        <v>89</v>
      </c>
      <c r="C21" s="12" t="s">
        <v>35</v>
      </c>
      <c r="D21" s="18">
        <v>46030</v>
      </c>
      <c r="E21" s="11">
        <v>36</v>
      </c>
      <c r="F21" s="19" t="str">
        <f>VLOOKUP(MID(B21,7,5),'Data Acuan'!$A$19:$E$25,2)</f>
        <v>Jakarta – Bali</v>
      </c>
      <c r="G21" s="20">
        <f>VLOOKUP(MID(B21,7,5),'Data Acuan'!$A$19:$E$25,3,0)</f>
        <v>0.25</v>
      </c>
      <c r="H21" s="20">
        <f>VLOOKUP(MID(B21,7,5),'Data Acuan'!$A$19:$E$25,4,0)</f>
        <v>0.33333333333333331</v>
      </c>
      <c r="I21" s="20">
        <f t="shared" si="0"/>
        <v>8.3333333333333315E-2</v>
      </c>
      <c r="J21" s="21">
        <f>VLOOKUP(MID(B21,7,5),'Data Acuan'!$A$19:$E$25,5,0)</f>
        <v>1200000</v>
      </c>
      <c r="K21" s="19" t="str">
        <f t="shared" si="1"/>
        <v>F</v>
      </c>
      <c r="L21" s="19">
        <f>HLOOKUP(K21,'Data Acuan'!$H$19:$J$21,3,0)</f>
        <v>2</v>
      </c>
      <c r="M21" s="22">
        <f t="shared" si="2"/>
        <v>2400000</v>
      </c>
      <c r="N21" s="23" t="str">
        <f t="shared" si="3"/>
        <v>500000</v>
      </c>
      <c r="O21" s="22">
        <f t="shared" si="4"/>
        <v>2900000</v>
      </c>
      <c r="P21" s="19" t="str">
        <f t="shared" si="5"/>
        <v>Berbayar</v>
      </c>
      <c r="Q21" s="19" t="str">
        <f t="shared" si="6"/>
        <v>Jarak Jauh</v>
      </c>
    </row>
    <row r="22" spans="1:17" x14ac:dyDescent="0.3">
      <c r="A22" s="11">
        <v>17</v>
      </c>
      <c r="B22" s="12" t="s">
        <v>90</v>
      </c>
      <c r="C22" s="12" t="s">
        <v>36</v>
      </c>
      <c r="D22" s="18">
        <v>46031</v>
      </c>
      <c r="E22" s="11">
        <v>18</v>
      </c>
      <c r="F22" s="19" t="str">
        <f>VLOOKUP(MID(B22,7,5),'Data Acuan'!$A$19:$E$25,2)</f>
        <v>Jakarta – Surabaya</v>
      </c>
      <c r="G22" s="20">
        <f>VLOOKUP(MID(B22,7,5),'Data Acuan'!$A$19:$E$25,3,0)</f>
        <v>0.3125</v>
      </c>
      <c r="H22" s="20">
        <f>VLOOKUP(MID(B22,7,5),'Data Acuan'!$A$19:$E$25,4,0)</f>
        <v>0.375</v>
      </c>
      <c r="I22" s="20">
        <f t="shared" si="0"/>
        <v>6.25E-2</v>
      </c>
      <c r="J22" s="21">
        <f>VLOOKUP(MID(B22,7,5),'Data Acuan'!$A$19:$E$25,5,0)</f>
        <v>900000</v>
      </c>
      <c r="K22" s="19" t="str">
        <f t="shared" si="1"/>
        <v>E</v>
      </c>
      <c r="L22" s="19">
        <f>HLOOKUP(K22,'Data Acuan'!$H$19:$J$21,3,0)</f>
        <v>1</v>
      </c>
      <c r="M22" s="22">
        <f t="shared" si="2"/>
        <v>900000</v>
      </c>
      <c r="N22" s="23" t="str">
        <f t="shared" si="3"/>
        <v>0</v>
      </c>
      <c r="O22" s="22">
        <f t="shared" si="4"/>
        <v>900000</v>
      </c>
      <c r="P22" s="19" t="str">
        <f t="shared" si="5"/>
        <v>Gratis</v>
      </c>
      <c r="Q22" s="19" t="str">
        <f t="shared" si="6"/>
        <v>Jarak Dekat</v>
      </c>
    </row>
    <row r="23" spans="1:17" x14ac:dyDescent="0.3">
      <c r="A23" s="11">
        <v>18</v>
      </c>
      <c r="B23" s="12" t="s">
        <v>91</v>
      </c>
      <c r="C23" s="12" t="s">
        <v>37</v>
      </c>
      <c r="D23" s="18">
        <v>46031</v>
      </c>
      <c r="E23" s="11">
        <v>29</v>
      </c>
      <c r="F23" s="19" t="str">
        <f>VLOOKUP(MID(B23,7,5),'Data Acuan'!$A$19:$E$25,2)</f>
        <v>Jakarta – Medan</v>
      </c>
      <c r="G23" s="20">
        <f>VLOOKUP(MID(B23,7,5),'Data Acuan'!$A$19:$E$25,3,0)</f>
        <v>0.33333333333333331</v>
      </c>
      <c r="H23" s="20">
        <f>VLOOKUP(MID(B23,7,5),'Data Acuan'!$A$19:$E$25,4,0)</f>
        <v>0.4375</v>
      </c>
      <c r="I23" s="20">
        <f t="shared" si="0"/>
        <v>0.10416666666666669</v>
      </c>
      <c r="J23" s="21">
        <f>VLOOKUP(MID(B23,7,5),'Data Acuan'!$A$19:$E$25,5,0)</f>
        <v>1500000</v>
      </c>
      <c r="K23" s="19" t="str">
        <f t="shared" si="1"/>
        <v>B</v>
      </c>
      <c r="L23" s="19">
        <f>HLOOKUP(K23,'Data Acuan'!$H$19:$J$21,3,0)</f>
        <v>1.5</v>
      </c>
      <c r="M23" s="22">
        <f t="shared" si="2"/>
        <v>2250000</v>
      </c>
      <c r="N23" s="23" t="str">
        <f t="shared" si="3"/>
        <v>150000</v>
      </c>
      <c r="O23" s="22">
        <f t="shared" si="4"/>
        <v>2400000</v>
      </c>
      <c r="P23" s="19" t="str">
        <f t="shared" si="5"/>
        <v>Berbayar</v>
      </c>
      <c r="Q23" s="19" t="str">
        <f t="shared" si="6"/>
        <v>Jarak Jauh</v>
      </c>
    </row>
    <row r="24" spans="1:17" x14ac:dyDescent="0.3">
      <c r="A24" s="11">
        <v>19</v>
      </c>
      <c r="B24" s="12" t="s">
        <v>92</v>
      </c>
      <c r="C24" s="12" t="s">
        <v>38</v>
      </c>
      <c r="D24" s="18">
        <v>46032</v>
      </c>
      <c r="E24" s="11">
        <v>40</v>
      </c>
      <c r="F24" s="19" t="str">
        <f>VLOOKUP(MID(B24,7,5),'Data Acuan'!$A$19:$E$25,2)</f>
        <v>Jakarta – Makassar</v>
      </c>
      <c r="G24" s="20">
        <f>VLOOKUP(MID(B24,7,5),'Data Acuan'!$A$19:$E$25,3,0)</f>
        <v>0.375</v>
      </c>
      <c r="H24" s="20">
        <f>VLOOKUP(MID(B24,7,5),'Data Acuan'!$A$19:$E$25,4,0)</f>
        <v>0.47916666666666669</v>
      </c>
      <c r="I24" s="20">
        <f t="shared" si="0"/>
        <v>0.10416666666666669</v>
      </c>
      <c r="J24" s="21">
        <f>VLOOKUP(MID(B24,7,5),'Data Acuan'!$A$19:$E$25,5,0)</f>
        <v>1800000</v>
      </c>
      <c r="K24" s="19" t="str">
        <f t="shared" si="1"/>
        <v>F</v>
      </c>
      <c r="L24" s="19">
        <f>HLOOKUP(K24,'Data Acuan'!$H$19:$J$21,3,0)</f>
        <v>2</v>
      </c>
      <c r="M24" s="22">
        <f t="shared" si="2"/>
        <v>3600000</v>
      </c>
      <c r="N24" s="23" t="str">
        <f t="shared" si="3"/>
        <v>800000</v>
      </c>
      <c r="O24" s="22">
        <f t="shared" si="4"/>
        <v>4400000</v>
      </c>
      <c r="P24" s="19" t="str">
        <f t="shared" si="5"/>
        <v>Berbayar</v>
      </c>
      <c r="Q24" s="19" t="str">
        <f t="shared" si="6"/>
        <v>Jarak Jauh</v>
      </c>
    </row>
    <row r="25" spans="1:17" x14ac:dyDescent="0.3">
      <c r="A25" s="11">
        <v>20</v>
      </c>
      <c r="B25" s="12" t="s">
        <v>93</v>
      </c>
      <c r="C25" s="12" t="s">
        <v>39</v>
      </c>
      <c r="D25" s="18">
        <v>46032</v>
      </c>
      <c r="E25" s="11">
        <v>16</v>
      </c>
      <c r="F25" s="19" t="str">
        <f>VLOOKUP(MID(B25,7,5),'Data Acuan'!$A$19:$E$25,2)</f>
        <v>Jakarta – Lombok</v>
      </c>
      <c r="G25" s="20">
        <f>VLOOKUP(MID(B25,7,5),'Data Acuan'!$A$19:$E$25,3,0)</f>
        <v>0.41666666666666669</v>
      </c>
      <c r="H25" s="20">
        <f>VLOOKUP(MID(B25,7,5),'Data Acuan'!$A$19:$E$25,4,0)</f>
        <v>0.5</v>
      </c>
      <c r="I25" s="20">
        <f t="shared" si="0"/>
        <v>8.3333333333333315E-2</v>
      </c>
      <c r="J25" s="21">
        <f>VLOOKUP(MID(B25,7,5),'Data Acuan'!$A$19:$E$25,5,0)</f>
        <v>1300000</v>
      </c>
      <c r="K25" s="19" t="str">
        <f t="shared" si="1"/>
        <v>E</v>
      </c>
      <c r="L25" s="19">
        <f>HLOOKUP(K25,'Data Acuan'!$H$19:$J$21,3,0)</f>
        <v>1</v>
      </c>
      <c r="M25" s="22">
        <f t="shared" si="2"/>
        <v>1300000</v>
      </c>
      <c r="N25" s="23" t="str">
        <f t="shared" si="3"/>
        <v>0</v>
      </c>
      <c r="O25" s="22">
        <f t="shared" si="4"/>
        <v>1300000</v>
      </c>
      <c r="P25" s="19" t="str">
        <f t="shared" si="5"/>
        <v>Gratis</v>
      </c>
      <c r="Q25" s="19" t="str">
        <f t="shared" si="6"/>
        <v>Jarak Jauh</v>
      </c>
    </row>
    <row r="26" spans="1:17" x14ac:dyDescent="0.3">
      <c r="A26" s="11">
        <v>21</v>
      </c>
      <c r="B26" s="12" t="s">
        <v>94</v>
      </c>
      <c r="C26" s="12" t="s">
        <v>40</v>
      </c>
      <c r="D26" s="18">
        <v>46033</v>
      </c>
      <c r="E26" s="11">
        <v>26</v>
      </c>
      <c r="F26" s="19" t="str">
        <f>VLOOKUP(MID(B26,7,5),'Data Acuan'!$A$19:$E$25,2)</f>
        <v>Jakarta – Bali</v>
      </c>
      <c r="G26" s="20">
        <f>VLOOKUP(MID(B26,7,5),'Data Acuan'!$A$19:$E$25,3,0)</f>
        <v>0.25</v>
      </c>
      <c r="H26" s="20">
        <f>VLOOKUP(MID(B26,7,5),'Data Acuan'!$A$19:$E$25,4,0)</f>
        <v>0.33333333333333331</v>
      </c>
      <c r="I26" s="20">
        <f t="shared" si="0"/>
        <v>8.3333333333333315E-2</v>
      </c>
      <c r="J26" s="21">
        <f>VLOOKUP(MID(B26,7,5),'Data Acuan'!$A$19:$E$25,5,0)</f>
        <v>1200000</v>
      </c>
      <c r="K26" s="19" t="str">
        <f t="shared" si="1"/>
        <v>B</v>
      </c>
      <c r="L26" s="19">
        <f>HLOOKUP(K26,'Data Acuan'!$H$19:$J$21,3,0)</f>
        <v>1.5</v>
      </c>
      <c r="M26" s="22">
        <f t="shared" si="2"/>
        <v>1800000</v>
      </c>
      <c r="N26" s="23" t="str">
        <f t="shared" si="3"/>
        <v>150000</v>
      </c>
      <c r="O26" s="22">
        <f t="shared" si="4"/>
        <v>1950000</v>
      </c>
      <c r="P26" s="19" t="str">
        <f t="shared" si="5"/>
        <v>Berbayar</v>
      </c>
      <c r="Q26" s="19" t="str">
        <f t="shared" si="6"/>
        <v>Jarak Jauh</v>
      </c>
    </row>
    <row r="27" spans="1:17" x14ac:dyDescent="0.3">
      <c r="A27" s="11">
        <v>22</v>
      </c>
      <c r="B27" s="12" t="s">
        <v>95</v>
      </c>
      <c r="C27" s="12" t="s">
        <v>41</v>
      </c>
      <c r="D27" s="18">
        <v>46033</v>
      </c>
      <c r="E27" s="11">
        <v>34</v>
      </c>
      <c r="F27" s="19" t="str">
        <f>VLOOKUP(MID(B27,7,5),'Data Acuan'!$A$19:$E$25,2)</f>
        <v>Jakarta – Surabaya</v>
      </c>
      <c r="G27" s="20">
        <f>VLOOKUP(MID(B27,7,5),'Data Acuan'!$A$19:$E$25,3,0)</f>
        <v>0.3125</v>
      </c>
      <c r="H27" s="20">
        <f>VLOOKUP(MID(B27,7,5),'Data Acuan'!$A$19:$E$25,4,0)</f>
        <v>0.375</v>
      </c>
      <c r="I27" s="20">
        <f t="shared" si="0"/>
        <v>6.25E-2</v>
      </c>
      <c r="J27" s="21">
        <f>VLOOKUP(MID(B27,7,5),'Data Acuan'!$A$19:$E$25,5,0)</f>
        <v>900000</v>
      </c>
      <c r="K27" s="19" t="str">
        <f t="shared" si="1"/>
        <v>F</v>
      </c>
      <c r="L27" s="19">
        <f>HLOOKUP(K27,'Data Acuan'!$H$19:$J$21,3,0)</f>
        <v>2</v>
      </c>
      <c r="M27" s="22">
        <f t="shared" si="2"/>
        <v>1800000</v>
      </c>
      <c r="N27" s="23" t="str">
        <f t="shared" si="3"/>
        <v>300000</v>
      </c>
      <c r="O27" s="22">
        <f t="shared" si="4"/>
        <v>2100000</v>
      </c>
      <c r="P27" s="19" t="str">
        <f t="shared" si="5"/>
        <v>Berbayar</v>
      </c>
      <c r="Q27" s="19" t="str">
        <f t="shared" si="6"/>
        <v>Jarak Dekat</v>
      </c>
    </row>
    <row r="28" spans="1:17" x14ac:dyDescent="0.3">
      <c r="A28" s="11">
        <v>23</v>
      </c>
      <c r="B28" s="12" t="s">
        <v>96</v>
      </c>
      <c r="C28" s="12" t="s">
        <v>42</v>
      </c>
      <c r="D28" s="18">
        <v>46034</v>
      </c>
      <c r="E28" s="11">
        <v>20</v>
      </c>
      <c r="F28" s="19" t="str">
        <f>VLOOKUP(MID(B28,7,5),'Data Acuan'!$A$19:$E$25,2)</f>
        <v>Jakarta – Medan</v>
      </c>
      <c r="G28" s="20">
        <f>VLOOKUP(MID(B28,7,5),'Data Acuan'!$A$19:$E$25,3,0)</f>
        <v>0.33333333333333331</v>
      </c>
      <c r="H28" s="20">
        <f>VLOOKUP(MID(B28,7,5),'Data Acuan'!$A$19:$E$25,4,0)</f>
        <v>0.4375</v>
      </c>
      <c r="I28" s="20">
        <f t="shared" si="0"/>
        <v>0.10416666666666669</v>
      </c>
      <c r="J28" s="21">
        <f>VLOOKUP(MID(B28,7,5),'Data Acuan'!$A$19:$E$25,5,0)</f>
        <v>1500000</v>
      </c>
      <c r="K28" s="19" t="str">
        <f t="shared" si="1"/>
        <v>E</v>
      </c>
      <c r="L28" s="19">
        <f>HLOOKUP(K28,'Data Acuan'!$H$19:$J$21,3,0)</f>
        <v>1</v>
      </c>
      <c r="M28" s="22">
        <f t="shared" si="2"/>
        <v>1500000</v>
      </c>
      <c r="N28" s="23" t="str">
        <f t="shared" si="3"/>
        <v>0</v>
      </c>
      <c r="O28" s="22">
        <f t="shared" si="4"/>
        <v>1500000</v>
      </c>
      <c r="P28" s="19" t="str">
        <f t="shared" si="5"/>
        <v>Gratis</v>
      </c>
      <c r="Q28" s="19" t="str">
        <f t="shared" si="6"/>
        <v>Jarak Jauh</v>
      </c>
    </row>
    <row r="29" spans="1:17" x14ac:dyDescent="0.3">
      <c r="A29" s="11">
        <v>24</v>
      </c>
      <c r="B29" s="12" t="s">
        <v>97</v>
      </c>
      <c r="C29" s="12" t="s">
        <v>43</v>
      </c>
      <c r="D29" s="18">
        <v>46034</v>
      </c>
      <c r="E29" s="11">
        <v>27</v>
      </c>
      <c r="F29" s="19" t="str">
        <f>VLOOKUP(MID(B29,7,5),'Data Acuan'!$A$19:$E$25,2)</f>
        <v>Jakarta – Makassar</v>
      </c>
      <c r="G29" s="20">
        <f>VLOOKUP(MID(B29,7,5),'Data Acuan'!$A$19:$E$25,3,0)</f>
        <v>0.375</v>
      </c>
      <c r="H29" s="20">
        <f>VLOOKUP(MID(B29,7,5),'Data Acuan'!$A$19:$E$25,4,0)</f>
        <v>0.47916666666666669</v>
      </c>
      <c r="I29" s="20">
        <f t="shared" si="0"/>
        <v>0.10416666666666669</v>
      </c>
      <c r="J29" s="21">
        <f>VLOOKUP(MID(B29,7,5),'Data Acuan'!$A$19:$E$25,5,0)</f>
        <v>1800000</v>
      </c>
      <c r="K29" s="19" t="str">
        <f t="shared" si="1"/>
        <v>B</v>
      </c>
      <c r="L29" s="19">
        <f>HLOOKUP(K29,'Data Acuan'!$H$19:$J$21,3,0)</f>
        <v>1.5</v>
      </c>
      <c r="M29" s="22">
        <f t="shared" si="2"/>
        <v>2700000</v>
      </c>
      <c r="N29" s="23" t="str">
        <f t="shared" si="3"/>
        <v>150000</v>
      </c>
      <c r="O29" s="22">
        <f t="shared" si="4"/>
        <v>2850000</v>
      </c>
      <c r="P29" s="19" t="str">
        <f t="shared" si="5"/>
        <v>Berbayar</v>
      </c>
      <c r="Q29" s="19" t="str">
        <f t="shared" si="6"/>
        <v>Jarak Jauh</v>
      </c>
    </row>
    <row r="30" spans="1:17" x14ac:dyDescent="0.3">
      <c r="A30" s="11">
        <v>25</v>
      </c>
      <c r="B30" s="12" t="s">
        <v>98</v>
      </c>
      <c r="C30" s="12" t="s">
        <v>44</v>
      </c>
      <c r="D30" s="18">
        <v>46035</v>
      </c>
      <c r="E30" s="11">
        <v>38</v>
      </c>
      <c r="F30" s="19" t="str">
        <f>VLOOKUP(MID(B30,7,5),'Data Acuan'!$A$19:$E$25,2)</f>
        <v>Jakarta – Lombok</v>
      </c>
      <c r="G30" s="20">
        <f>VLOOKUP(MID(B30,7,5),'Data Acuan'!$A$19:$E$25,3,0)</f>
        <v>0.41666666666666669</v>
      </c>
      <c r="H30" s="20">
        <f>VLOOKUP(MID(B30,7,5),'Data Acuan'!$A$19:$E$25,4,0)</f>
        <v>0.5</v>
      </c>
      <c r="I30" s="20">
        <f t="shared" si="0"/>
        <v>8.3333333333333315E-2</v>
      </c>
      <c r="J30" s="21">
        <f>VLOOKUP(MID(B30,7,5),'Data Acuan'!$A$19:$E$25,5,0)</f>
        <v>1300000</v>
      </c>
      <c r="K30" s="19" t="str">
        <f t="shared" si="1"/>
        <v>F</v>
      </c>
      <c r="L30" s="19">
        <f>HLOOKUP(K30,'Data Acuan'!$H$19:$J$21,3,0)</f>
        <v>2</v>
      </c>
      <c r="M30" s="22">
        <f t="shared" si="2"/>
        <v>2600000</v>
      </c>
      <c r="N30" s="23" t="str">
        <f t="shared" si="3"/>
        <v>500000</v>
      </c>
      <c r="O30" s="22">
        <f t="shared" si="4"/>
        <v>3100000</v>
      </c>
      <c r="P30" s="19" t="str">
        <f t="shared" si="5"/>
        <v>Berbayar</v>
      </c>
      <c r="Q30" s="19" t="str">
        <f t="shared" si="6"/>
        <v>Jarak Jauh</v>
      </c>
    </row>
    <row r="31" spans="1:17" x14ac:dyDescent="0.3">
      <c r="A31" s="11">
        <v>26</v>
      </c>
      <c r="B31" s="12" t="s">
        <v>99</v>
      </c>
      <c r="C31" s="12" t="s">
        <v>45</v>
      </c>
      <c r="D31" s="18">
        <v>46036</v>
      </c>
      <c r="E31" s="11">
        <v>14</v>
      </c>
      <c r="F31" s="19" t="str">
        <f>VLOOKUP(MID(B31,7,5),'Data Acuan'!$A$19:$E$25,2)</f>
        <v>Jakarta – Bali</v>
      </c>
      <c r="G31" s="20">
        <f>VLOOKUP(MID(B31,7,5),'Data Acuan'!$A$19:$E$25,3,0)</f>
        <v>0.25</v>
      </c>
      <c r="H31" s="20">
        <f>VLOOKUP(MID(B31,7,5),'Data Acuan'!$A$19:$E$25,4,0)</f>
        <v>0.33333333333333331</v>
      </c>
      <c r="I31" s="20">
        <f t="shared" si="0"/>
        <v>8.3333333333333315E-2</v>
      </c>
      <c r="J31" s="21">
        <f>VLOOKUP(MID(B31,7,5),'Data Acuan'!$A$19:$E$25,5,0)</f>
        <v>1200000</v>
      </c>
      <c r="K31" s="19" t="str">
        <f t="shared" si="1"/>
        <v>E</v>
      </c>
      <c r="L31" s="19">
        <f>HLOOKUP(K31,'Data Acuan'!$H$19:$J$21,3,0)</f>
        <v>1</v>
      </c>
      <c r="M31" s="22">
        <f t="shared" si="2"/>
        <v>1200000</v>
      </c>
      <c r="N31" s="23" t="str">
        <f t="shared" si="3"/>
        <v>0</v>
      </c>
      <c r="O31" s="22">
        <f t="shared" si="4"/>
        <v>1200000</v>
      </c>
      <c r="P31" s="19" t="str">
        <f t="shared" si="5"/>
        <v>Gratis</v>
      </c>
      <c r="Q31" s="19" t="str">
        <f t="shared" si="6"/>
        <v>Jarak Jauh</v>
      </c>
    </row>
    <row r="32" spans="1:17" x14ac:dyDescent="0.3">
      <c r="A32" s="11">
        <v>27</v>
      </c>
      <c r="B32" s="12" t="s">
        <v>100</v>
      </c>
      <c r="C32" s="12" t="s">
        <v>46</v>
      </c>
      <c r="D32" s="18">
        <v>46036</v>
      </c>
      <c r="E32" s="11">
        <v>25</v>
      </c>
      <c r="F32" s="19" t="str">
        <f>VLOOKUP(MID(B32,7,5),'Data Acuan'!$A$19:$E$25,2)</f>
        <v>Jakarta – Surabaya</v>
      </c>
      <c r="G32" s="20">
        <f>VLOOKUP(MID(B32,7,5),'Data Acuan'!$A$19:$E$25,3,0)</f>
        <v>0.3125</v>
      </c>
      <c r="H32" s="20">
        <f>VLOOKUP(MID(B32,7,5),'Data Acuan'!$A$19:$E$25,4,0)</f>
        <v>0.375</v>
      </c>
      <c r="I32" s="20">
        <f t="shared" si="0"/>
        <v>6.25E-2</v>
      </c>
      <c r="J32" s="21">
        <f>VLOOKUP(MID(B32,7,5),'Data Acuan'!$A$19:$E$25,5,0)</f>
        <v>900000</v>
      </c>
      <c r="K32" s="19" t="str">
        <f t="shared" si="1"/>
        <v>B</v>
      </c>
      <c r="L32" s="19">
        <f>HLOOKUP(K32,'Data Acuan'!$H$19:$J$21,3,0)</f>
        <v>1.5</v>
      </c>
      <c r="M32" s="22">
        <f t="shared" si="2"/>
        <v>1350000</v>
      </c>
      <c r="N32" s="23" t="str">
        <f t="shared" si="3"/>
        <v>150000</v>
      </c>
      <c r="O32" s="22">
        <f t="shared" si="4"/>
        <v>1500000</v>
      </c>
      <c r="P32" s="19" t="str">
        <f t="shared" si="5"/>
        <v>Berbayar</v>
      </c>
      <c r="Q32" s="19" t="str">
        <f t="shared" si="6"/>
        <v>Jarak Dekat</v>
      </c>
    </row>
    <row r="33" spans="1:17" x14ac:dyDescent="0.3">
      <c r="A33" s="11">
        <v>28</v>
      </c>
      <c r="B33" s="12" t="s">
        <v>101</v>
      </c>
      <c r="C33" s="12" t="s">
        <v>47</v>
      </c>
      <c r="D33" s="18">
        <v>46037</v>
      </c>
      <c r="E33" s="11">
        <v>30</v>
      </c>
      <c r="F33" s="19" t="str">
        <f>VLOOKUP(MID(B33,7,5),'Data Acuan'!$A$19:$E$25,2)</f>
        <v>Jakarta – Medan</v>
      </c>
      <c r="G33" s="20">
        <f>VLOOKUP(MID(B33,7,5),'Data Acuan'!$A$19:$E$25,3,0)</f>
        <v>0.33333333333333331</v>
      </c>
      <c r="H33" s="20">
        <f>VLOOKUP(MID(B33,7,5),'Data Acuan'!$A$19:$E$25,4,0)</f>
        <v>0.4375</v>
      </c>
      <c r="I33" s="20">
        <f t="shared" si="0"/>
        <v>0.10416666666666669</v>
      </c>
      <c r="J33" s="21">
        <f>VLOOKUP(MID(B33,7,5),'Data Acuan'!$A$19:$E$25,5,0)</f>
        <v>1500000</v>
      </c>
      <c r="K33" s="19" t="str">
        <f t="shared" si="1"/>
        <v>F</v>
      </c>
      <c r="L33" s="19">
        <f>HLOOKUP(K33,'Data Acuan'!$H$19:$J$21,3,0)</f>
        <v>2</v>
      </c>
      <c r="M33" s="22">
        <f t="shared" si="2"/>
        <v>3000000</v>
      </c>
      <c r="N33" s="23" t="str">
        <f t="shared" si="3"/>
        <v>300000</v>
      </c>
      <c r="O33" s="22">
        <f t="shared" si="4"/>
        <v>3300000</v>
      </c>
      <c r="P33" s="19" t="str">
        <f t="shared" si="5"/>
        <v>Berbayar</v>
      </c>
      <c r="Q33" s="19" t="str">
        <f t="shared" si="6"/>
        <v>Jarak Jauh</v>
      </c>
    </row>
    <row r="34" spans="1:17" x14ac:dyDescent="0.3">
      <c r="A34" s="11">
        <v>29</v>
      </c>
      <c r="B34" s="12" t="s">
        <v>102</v>
      </c>
      <c r="C34" s="12" t="s">
        <v>48</v>
      </c>
      <c r="D34" s="18">
        <v>46037</v>
      </c>
      <c r="E34" s="11">
        <v>19</v>
      </c>
      <c r="F34" s="19" t="str">
        <f>VLOOKUP(MID(B34,7,5),'Data Acuan'!$A$19:$E$25,2)</f>
        <v>Jakarta – Makassar</v>
      </c>
      <c r="G34" s="20">
        <f>VLOOKUP(MID(B34,7,5),'Data Acuan'!$A$19:$E$25,3,0)</f>
        <v>0.375</v>
      </c>
      <c r="H34" s="20">
        <f>VLOOKUP(MID(B34,7,5),'Data Acuan'!$A$19:$E$25,4,0)</f>
        <v>0.47916666666666669</v>
      </c>
      <c r="I34" s="20">
        <f t="shared" si="0"/>
        <v>0.10416666666666669</v>
      </c>
      <c r="J34" s="21">
        <f>VLOOKUP(MID(B34,7,5),'Data Acuan'!$A$19:$E$25,5,0)</f>
        <v>1800000</v>
      </c>
      <c r="K34" s="19" t="str">
        <f t="shared" si="1"/>
        <v>E</v>
      </c>
      <c r="L34" s="19">
        <f>HLOOKUP(K34,'Data Acuan'!$H$19:$J$21,3,0)</f>
        <v>1</v>
      </c>
      <c r="M34" s="22">
        <f t="shared" si="2"/>
        <v>1800000</v>
      </c>
      <c r="N34" s="23" t="str">
        <f t="shared" si="3"/>
        <v>0</v>
      </c>
      <c r="O34" s="22">
        <f t="shared" si="4"/>
        <v>1800000</v>
      </c>
      <c r="P34" s="19" t="str">
        <f t="shared" si="5"/>
        <v>Gratis</v>
      </c>
      <c r="Q34" s="19" t="str">
        <f t="shared" si="6"/>
        <v>Jarak Jauh</v>
      </c>
    </row>
    <row r="35" spans="1:17" x14ac:dyDescent="0.3">
      <c r="A35" s="11">
        <v>30</v>
      </c>
      <c r="B35" s="12" t="s">
        <v>103</v>
      </c>
      <c r="C35" s="12" t="s">
        <v>49</v>
      </c>
      <c r="D35" s="18">
        <v>46038</v>
      </c>
      <c r="E35" s="11">
        <v>28</v>
      </c>
      <c r="F35" s="19" t="str">
        <f>VLOOKUP(MID(B35,7,5),'Data Acuan'!$A$19:$E$25,2)</f>
        <v>Jakarta – Lombok</v>
      </c>
      <c r="G35" s="20">
        <f>VLOOKUP(MID(B35,7,5),'Data Acuan'!$A$19:$E$25,3,0)</f>
        <v>0.41666666666666669</v>
      </c>
      <c r="H35" s="20">
        <f>VLOOKUP(MID(B35,7,5),'Data Acuan'!$A$19:$E$25,4,0)</f>
        <v>0.5</v>
      </c>
      <c r="I35" s="20">
        <f t="shared" si="0"/>
        <v>8.3333333333333315E-2</v>
      </c>
      <c r="J35" s="21">
        <f>VLOOKUP(MID(B35,7,5),'Data Acuan'!$A$19:$E$25,5,0)</f>
        <v>1300000</v>
      </c>
      <c r="K35" s="19" t="str">
        <f t="shared" si="1"/>
        <v>B</v>
      </c>
      <c r="L35" s="19">
        <f>HLOOKUP(K35,'Data Acuan'!$H$19:$J$21,3,0)</f>
        <v>1.5</v>
      </c>
      <c r="M35" s="22">
        <f t="shared" si="2"/>
        <v>1950000</v>
      </c>
      <c r="N35" s="23" t="str">
        <f t="shared" si="3"/>
        <v>150000</v>
      </c>
      <c r="O35" s="22">
        <f t="shared" si="4"/>
        <v>2100000</v>
      </c>
      <c r="P35" s="19" t="str">
        <f t="shared" si="5"/>
        <v>Berbayar</v>
      </c>
      <c r="Q35" s="19" t="str">
        <f t="shared" si="6"/>
        <v>Jarak Jauh</v>
      </c>
    </row>
    <row r="36" spans="1:17" x14ac:dyDescent="0.3">
      <c r="A36" s="11">
        <v>31</v>
      </c>
      <c r="B36" s="12" t="s">
        <v>104</v>
      </c>
      <c r="C36" s="12" t="s">
        <v>50</v>
      </c>
      <c r="D36" s="18">
        <v>46038</v>
      </c>
      <c r="E36" s="11">
        <v>40</v>
      </c>
      <c r="F36" s="19" t="str">
        <f>VLOOKUP(MID(B36,7,5),'Data Acuan'!$A$19:$E$25,2)</f>
        <v>Jakarta – Bali</v>
      </c>
      <c r="G36" s="20">
        <f>VLOOKUP(MID(B36,7,5),'Data Acuan'!$A$19:$E$25,3,0)</f>
        <v>0.25</v>
      </c>
      <c r="H36" s="20">
        <f>VLOOKUP(MID(B36,7,5),'Data Acuan'!$A$19:$E$25,4,0)</f>
        <v>0.33333333333333331</v>
      </c>
      <c r="I36" s="20">
        <f t="shared" si="0"/>
        <v>8.3333333333333315E-2</v>
      </c>
      <c r="J36" s="21">
        <f>VLOOKUP(MID(B36,7,5),'Data Acuan'!$A$19:$E$25,5,0)</f>
        <v>1200000</v>
      </c>
      <c r="K36" s="19" t="str">
        <f t="shared" si="1"/>
        <v>F</v>
      </c>
      <c r="L36" s="19">
        <f>HLOOKUP(K36,'Data Acuan'!$H$19:$J$21,3,0)</f>
        <v>2</v>
      </c>
      <c r="M36" s="22">
        <f t="shared" si="2"/>
        <v>2400000</v>
      </c>
      <c r="N36" s="23" t="str">
        <f t="shared" si="3"/>
        <v>800000</v>
      </c>
      <c r="O36" s="22">
        <f t="shared" si="4"/>
        <v>3200000</v>
      </c>
      <c r="P36" s="19" t="str">
        <f t="shared" si="5"/>
        <v>Berbayar</v>
      </c>
      <c r="Q36" s="19" t="str">
        <f t="shared" si="6"/>
        <v>Jarak Jauh</v>
      </c>
    </row>
    <row r="37" spans="1:17" x14ac:dyDescent="0.3">
      <c r="A37" s="11">
        <v>32</v>
      </c>
      <c r="B37" s="12" t="s">
        <v>105</v>
      </c>
      <c r="C37" s="12" t="s">
        <v>51</v>
      </c>
      <c r="D37" s="18">
        <v>46039</v>
      </c>
      <c r="E37" s="11">
        <v>17</v>
      </c>
      <c r="F37" s="19" t="str">
        <f>VLOOKUP(MID(B37,7,5),'Data Acuan'!$A$19:$E$25,2)</f>
        <v>Jakarta – Surabaya</v>
      </c>
      <c r="G37" s="20">
        <f>VLOOKUP(MID(B37,7,5),'Data Acuan'!$A$19:$E$25,3,0)</f>
        <v>0.3125</v>
      </c>
      <c r="H37" s="20">
        <f>VLOOKUP(MID(B37,7,5),'Data Acuan'!$A$19:$E$25,4,0)</f>
        <v>0.375</v>
      </c>
      <c r="I37" s="20">
        <f t="shared" si="0"/>
        <v>6.25E-2</v>
      </c>
      <c r="J37" s="21">
        <f>VLOOKUP(MID(B37,7,5),'Data Acuan'!$A$19:$E$25,5,0)</f>
        <v>900000</v>
      </c>
      <c r="K37" s="19" t="str">
        <f t="shared" si="1"/>
        <v>E</v>
      </c>
      <c r="L37" s="19">
        <f>HLOOKUP(K37,'Data Acuan'!$H$19:$J$21,3,0)</f>
        <v>1</v>
      </c>
      <c r="M37" s="22">
        <f t="shared" si="2"/>
        <v>900000</v>
      </c>
      <c r="N37" s="23" t="str">
        <f t="shared" si="3"/>
        <v>0</v>
      </c>
      <c r="O37" s="22">
        <f t="shared" si="4"/>
        <v>900000</v>
      </c>
      <c r="P37" s="19" t="str">
        <f t="shared" si="5"/>
        <v>Gratis</v>
      </c>
      <c r="Q37" s="19" t="str">
        <f t="shared" si="6"/>
        <v>Jarak Dekat</v>
      </c>
    </row>
    <row r="38" spans="1:17" x14ac:dyDescent="0.3">
      <c r="A38" s="11">
        <v>33</v>
      </c>
      <c r="B38" s="12" t="s">
        <v>106</v>
      </c>
      <c r="C38" s="12" t="s">
        <v>52</v>
      </c>
      <c r="D38" s="18">
        <v>46039</v>
      </c>
      <c r="E38" s="11">
        <v>26</v>
      </c>
      <c r="F38" s="19" t="str">
        <f>VLOOKUP(MID(B38,7,5),'Data Acuan'!$A$19:$E$25,2)</f>
        <v>Jakarta – Medan</v>
      </c>
      <c r="G38" s="20">
        <f>VLOOKUP(MID(B38,7,5),'Data Acuan'!$A$19:$E$25,3,0)</f>
        <v>0.33333333333333331</v>
      </c>
      <c r="H38" s="20">
        <f>VLOOKUP(MID(B38,7,5),'Data Acuan'!$A$19:$E$25,4,0)</f>
        <v>0.4375</v>
      </c>
      <c r="I38" s="20">
        <f t="shared" si="0"/>
        <v>0.10416666666666669</v>
      </c>
      <c r="J38" s="21">
        <f>VLOOKUP(MID(B38,7,5),'Data Acuan'!$A$19:$E$25,5,0)</f>
        <v>1500000</v>
      </c>
      <c r="K38" s="19" t="str">
        <f t="shared" si="1"/>
        <v>B</v>
      </c>
      <c r="L38" s="19">
        <f>HLOOKUP(K38,'Data Acuan'!$H$19:$J$21,3,0)</f>
        <v>1.5</v>
      </c>
      <c r="M38" s="22">
        <f t="shared" si="2"/>
        <v>2250000</v>
      </c>
      <c r="N38" s="23" t="str">
        <f t="shared" si="3"/>
        <v>150000</v>
      </c>
      <c r="O38" s="22">
        <f t="shared" si="4"/>
        <v>2400000</v>
      </c>
      <c r="P38" s="19" t="str">
        <f t="shared" si="5"/>
        <v>Berbayar</v>
      </c>
      <c r="Q38" s="19" t="str">
        <f t="shared" si="6"/>
        <v>Jarak Jauh</v>
      </c>
    </row>
    <row r="39" spans="1:17" x14ac:dyDescent="0.3">
      <c r="A39" s="11">
        <v>34</v>
      </c>
      <c r="B39" s="12" t="s">
        <v>107</v>
      </c>
      <c r="C39" s="12" t="s">
        <v>53</v>
      </c>
      <c r="D39" s="18">
        <v>46040</v>
      </c>
      <c r="E39" s="11">
        <v>35</v>
      </c>
      <c r="F39" s="19" t="str">
        <f>VLOOKUP(MID(B39,7,5),'Data Acuan'!$A$19:$E$25,2)</f>
        <v>Jakarta – Makassar</v>
      </c>
      <c r="G39" s="20">
        <f>VLOOKUP(MID(B39,7,5),'Data Acuan'!$A$19:$E$25,3,0)</f>
        <v>0.375</v>
      </c>
      <c r="H39" s="20">
        <f>VLOOKUP(MID(B39,7,5),'Data Acuan'!$A$19:$E$25,4,0)</f>
        <v>0.47916666666666669</v>
      </c>
      <c r="I39" s="20">
        <f t="shared" si="0"/>
        <v>0.10416666666666669</v>
      </c>
      <c r="J39" s="21">
        <f>VLOOKUP(MID(B39,7,5),'Data Acuan'!$A$19:$E$25,5,0)</f>
        <v>1800000</v>
      </c>
      <c r="K39" s="19" t="str">
        <f t="shared" si="1"/>
        <v>F</v>
      </c>
      <c r="L39" s="19">
        <f>HLOOKUP(K39,'Data Acuan'!$H$19:$J$21,3,0)</f>
        <v>2</v>
      </c>
      <c r="M39" s="22">
        <f t="shared" si="2"/>
        <v>3600000</v>
      </c>
      <c r="N39" s="23" t="str">
        <f t="shared" si="3"/>
        <v>500000</v>
      </c>
      <c r="O39" s="22">
        <f t="shared" si="4"/>
        <v>4100000</v>
      </c>
      <c r="P39" s="19" t="str">
        <f t="shared" si="5"/>
        <v>Berbayar</v>
      </c>
      <c r="Q39" s="19" t="str">
        <f t="shared" si="6"/>
        <v>Jarak Jauh</v>
      </c>
    </row>
    <row r="40" spans="1:17" x14ac:dyDescent="0.3">
      <c r="A40" s="11">
        <v>35</v>
      </c>
      <c r="B40" s="12" t="s">
        <v>108</v>
      </c>
      <c r="C40" s="12" t="s">
        <v>54</v>
      </c>
      <c r="D40" s="18">
        <v>46040</v>
      </c>
      <c r="E40" s="11">
        <v>20</v>
      </c>
      <c r="F40" s="19" t="str">
        <f>VLOOKUP(MID(B40,7,5),'Data Acuan'!$A$19:$E$25,2)</f>
        <v>Jakarta – Lombok</v>
      </c>
      <c r="G40" s="20">
        <f>VLOOKUP(MID(B40,7,5),'Data Acuan'!$A$19:$E$25,3,0)</f>
        <v>0.41666666666666669</v>
      </c>
      <c r="H40" s="20">
        <f>VLOOKUP(MID(B40,7,5),'Data Acuan'!$A$19:$E$25,4,0)</f>
        <v>0.5</v>
      </c>
      <c r="I40" s="20">
        <f t="shared" si="0"/>
        <v>8.3333333333333315E-2</v>
      </c>
      <c r="J40" s="21">
        <f>VLOOKUP(MID(B40,7,5),'Data Acuan'!$A$19:$E$25,5,0)</f>
        <v>1300000</v>
      </c>
      <c r="K40" s="19" t="str">
        <f t="shared" si="1"/>
        <v>E</v>
      </c>
      <c r="L40" s="19">
        <f>HLOOKUP(K40,'Data Acuan'!$H$19:$J$21,3,0)</f>
        <v>1</v>
      </c>
      <c r="M40" s="22">
        <f t="shared" si="2"/>
        <v>1300000</v>
      </c>
      <c r="N40" s="23" t="str">
        <f t="shared" si="3"/>
        <v>0</v>
      </c>
      <c r="O40" s="22">
        <f t="shared" si="4"/>
        <v>1300000</v>
      </c>
      <c r="P40" s="19" t="str">
        <f t="shared" si="5"/>
        <v>Gratis</v>
      </c>
      <c r="Q40" s="19" t="str">
        <f t="shared" si="6"/>
        <v>Jarak Jauh</v>
      </c>
    </row>
    <row r="41" spans="1:17" x14ac:dyDescent="0.3">
      <c r="A41" s="11">
        <v>36</v>
      </c>
      <c r="B41" s="12" t="s">
        <v>109</v>
      </c>
      <c r="C41" s="12" t="s">
        <v>55</v>
      </c>
      <c r="D41" s="18">
        <v>46041</v>
      </c>
      <c r="E41" s="11">
        <v>24</v>
      </c>
      <c r="F41" s="19" t="str">
        <f>VLOOKUP(MID(B41,7,5),'Data Acuan'!$A$19:$E$25,2)</f>
        <v>Jakarta – Bali</v>
      </c>
      <c r="G41" s="20">
        <f>VLOOKUP(MID(B41,7,5),'Data Acuan'!$A$19:$E$25,3,0)</f>
        <v>0.25</v>
      </c>
      <c r="H41" s="20">
        <f>VLOOKUP(MID(B41,7,5),'Data Acuan'!$A$19:$E$25,4,0)</f>
        <v>0.33333333333333331</v>
      </c>
      <c r="I41" s="20">
        <f t="shared" si="0"/>
        <v>8.3333333333333315E-2</v>
      </c>
      <c r="J41" s="21">
        <f>VLOOKUP(MID(B41,7,5),'Data Acuan'!$A$19:$E$25,5,0)</f>
        <v>1200000</v>
      </c>
      <c r="K41" s="19" t="str">
        <f t="shared" si="1"/>
        <v>B</v>
      </c>
      <c r="L41" s="19">
        <f>HLOOKUP(K41,'Data Acuan'!$H$19:$J$21,3,0)</f>
        <v>1.5</v>
      </c>
      <c r="M41" s="22">
        <f t="shared" si="2"/>
        <v>1800000</v>
      </c>
      <c r="N41" s="23" t="str">
        <f t="shared" si="3"/>
        <v>0</v>
      </c>
      <c r="O41" s="22">
        <f t="shared" si="4"/>
        <v>1800000</v>
      </c>
      <c r="P41" s="19" t="str">
        <f t="shared" si="5"/>
        <v>Berbayar</v>
      </c>
      <c r="Q41" s="19" t="str">
        <f t="shared" si="6"/>
        <v>Jarak Jauh</v>
      </c>
    </row>
    <row r="42" spans="1:17" x14ac:dyDescent="0.3">
      <c r="A42" s="11">
        <v>37</v>
      </c>
      <c r="B42" s="12" t="s">
        <v>110</v>
      </c>
      <c r="C42" s="12" t="s">
        <v>56</v>
      </c>
      <c r="D42" s="18">
        <v>46041</v>
      </c>
      <c r="E42" s="11">
        <v>32</v>
      </c>
      <c r="F42" s="19" t="str">
        <f>VLOOKUP(MID(B42,7,5),'Data Acuan'!$A$19:$E$25,2)</f>
        <v>Jakarta – Surabaya</v>
      </c>
      <c r="G42" s="20">
        <f>VLOOKUP(MID(B42,7,5),'Data Acuan'!$A$19:$E$25,3,0)</f>
        <v>0.3125</v>
      </c>
      <c r="H42" s="20">
        <f>VLOOKUP(MID(B42,7,5),'Data Acuan'!$A$19:$E$25,4,0)</f>
        <v>0.375</v>
      </c>
      <c r="I42" s="20">
        <f t="shared" si="0"/>
        <v>6.25E-2</v>
      </c>
      <c r="J42" s="21">
        <f>VLOOKUP(MID(B42,7,5),'Data Acuan'!$A$19:$E$25,5,0)</f>
        <v>900000</v>
      </c>
      <c r="K42" s="19" t="str">
        <f t="shared" si="1"/>
        <v>F</v>
      </c>
      <c r="L42" s="19">
        <f>HLOOKUP(K42,'Data Acuan'!$H$19:$J$21,3,0)</f>
        <v>2</v>
      </c>
      <c r="M42" s="22">
        <f t="shared" si="2"/>
        <v>1800000</v>
      </c>
      <c r="N42" s="23" t="str">
        <f t="shared" si="3"/>
        <v>300000</v>
      </c>
      <c r="O42" s="22">
        <f t="shared" si="4"/>
        <v>2100000</v>
      </c>
      <c r="P42" s="19" t="str">
        <f t="shared" si="5"/>
        <v>Berbayar</v>
      </c>
      <c r="Q42" s="19" t="str">
        <f t="shared" si="6"/>
        <v>Jarak Dekat</v>
      </c>
    </row>
    <row r="43" spans="1:17" x14ac:dyDescent="0.3">
      <c r="A43" s="11">
        <v>38</v>
      </c>
      <c r="B43" s="12" t="s">
        <v>111</v>
      </c>
      <c r="C43" s="12" t="s">
        <v>57</v>
      </c>
      <c r="D43" s="18">
        <v>46042</v>
      </c>
      <c r="E43" s="11">
        <v>18</v>
      </c>
      <c r="F43" s="19" t="str">
        <f>VLOOKUP(MID(B43,7,5),'Data Acuan'!$A$19:$E$25,2)</f>
        <v>Jakarta – Medan</v>
      </c>
      <c r="G43" s="20">
        <f>VLOOKUP(MID(B43,7,5),'Data Acuan'!$A$19:$E$25,3,0)</f>
        <v>0.33333333333333331</v>
      </c>
      <c r="H43" s="20">
        <f>VLOOKUP(MID(B43,7,5),'Data Acuan'!$A$19:$E$25,4,0)</f>
        <v>0.4375</v>
      </c>
      <c r="I43" s="20">
        <f t="shared" si="0"/>
        <v>0.10416666666666669</v>
      </c>
      <c r="J43" s="21">
        <f>VLOOKUP(MID(B43,7,5),'Data Acuan'!$A$19:$E$25,5,0)</f>
        <v>1500000</v>
      </c>
      <c r="K43" s="19" t="str">
        <f t="shared" si="1"/>
        <v>E</v>
      </c>
      <c r="L43" s="19">
        <f>HLOOKUP(K43,'Data Acuan'!$H$19:$J$21,3,0)</f>
        <v>1</v>
      </c>
      <c r="M43" s="22">
        <f t="shared" si="2"/>
        <v>1500000</v>
      </c>
      <c r="N43" s="23" t="str">
        <f t="shared" si="3"/>
        <v>0</v>
      </c>
      <c r="O43" s="22">
        <f t="shared" si="4"/>
        <v>1500000</v>
      </c>
      <c r="P43" s="19" t="str">
        <f t="shared" si="5"/>
        <v>Gratis</v>
      </c>
      <c r="Q43" s="19" t="str">
        <f t="shared" si="6"/>
        <v>Jarak Jauh</v>
      </c>
    </row>
    <row r="44" spans="1:17" x14ac:dyDescent="0.3">
      <c r="A44" s="11">
        <v>39</v>
      </c>
      <c r="B44" s="12" t="s">
        <v>112</v>
      </c>
      <c r="C44" s="12" t="s">
        <v>58</v>
      </c>
      <c r="D44" s="18">
        <v>46042</v>
      </c>
      <c r="E44" s="11">
        <v>29</v>
      </c>
      <c r="F44" s="19" t="str">
        <f>VLOOKUP(MID(B44,7,5),'Data Acuan'!$A$19:$E$25,2)</f>
        <v>Jakarta – Makassar</v>
      </c>
      <c r="G44" s="20">
        <f>VLOOKUP(MID(B44,7,5),'Data Acuan'!$A$19:$E$25,3,0)</f>
        <v>0.375</v>
      </c>
      <c r="H44" s="20">
        <f>VLOOKUP(MID(B44,7,5),'Data Acuan'!$A$19:$E$25,4,0)</f>
        <v>0.47916666666666669</v>
      </c>
      <c r="I44" s="20">
        <f t="shared" si="0"/>
        <v>0.10416666666666669</v>
      </c>
      <c r="J44" s="21">
        <f>VLOOKUP(MID(B44,7,5),'Data Acuan'!$A$19:$E$25,5,0)</f>
        <v>1800000</v>
      </c>
      <c r="K44" s="19" t="str">
        <f t="shared" si="1"/>
        <v>B</v>
      </c>
      <c r="L44" s="19">
        <f>HLOOKUP(K44,'Data Acuan'!$H$19:$J$21,3,0)</f>
        <v>1.5</v>
      </c>
      <c r="M44" s="22">
        <f t="shared" si="2"/>
        <v>2700000</v>
      </c>
      <c r="N44" s="23" t="str">
        <f t="shared" si="3"/>
        <v>150000</v>
      </c>
      <c r="O44" s="22">
        <f t="shared" si="4"/>
        <v>2850000</v>
      </c>
      <c r="P44" s="19" t="str">
        <f t="shared" si="5"/>
        <v>Berbayar</v>
      </c>
      <c r="Q44" s="19" t="str">
        <f t="shared" si="6"/>
        <v>Jarak Jauh</v>
      </c>
    </row>
    <row r="45" spans="1:17" x14ac:dyDescent="0.3">
      <c r="A45" s="11">
        <v>40</v>
      </c>
      <c r="B45" s="12" t="s">
        <v>113</v>
      </c>
      <c r="C45" s="12" t="s">
        <v>59</v>
      </c>
      <c r="D45" s="18">
        <v>46043</v>
      </c>
      <c r="E45" s="11">
        <v>40</v>
      </c>
      <c r="F45" s="19" t="str">
        <f>VLOOKUP(MID(B45,7,5),'Data Acuan'!$A$19:$E$25,2)</f>
        <v>Jakarta – Lombok</v>
      </c>
      <c r="G45" s="20">
        <f>VLOOKUP(MID(B45,7,5),'Data Acuan'!$A$19:$E$25,3,0)</f>
        <v>0.41666666666666669</v>
      </c>
      <c r="H45" s="20">
        <f>VLOOKUP(MID(B45,7,5),'Data Acuan'!$A$19:$E$25,4,0)</f>
        <v>0.5</v>
      </c>
      <c r="I45" s="20">
        <f t="shared" si="0"/>
        <v>8.3333333333333315E-2</v>
      </c>
      <c r="J45" s="21">
        <f>VLOOKUP(MID(B45,7,5),'Data Acuan'!$A$19:$E$25,5,0)</f>
        <v>1300000</v>
      </c>
      <c r="K45" s="19" t="str">
        <f t="shared" si="1"/>
        <v>F</v>
      </c>
      <c r="L45" s="19">
        <f>HLOOKUP(K45,'Data Acuan'!$H$19:$J$21,3,0)</f>
        <v>2</v>
      </c>
      <c r="M45" s="22">
        <f t="shared" si="2"/>
        <v>2600000</v>
      </c>
      <c r="N45" s="23" t="str">
        <f t="shared" si="3"/>
        <v>800000</v>
      </c>
      <c r="O45" s="22">
        <f t="shared" si="4"/>
        <v>3400000</v>
      </c>
      <c r="P45" s="19" t="str">
        <f t="shared" si="5"/>
        <v>Berbayar</v>
      </c>
      <c r="Q45" s="19" t="str">
        <f t="shared" si="6"/>
        <v>Jarak Jauh</v>
      </c>
    </row>
    <row r="46" spans="1:17" x14ac:dyDescent="0.3">
      <c r="A46" s="11">
        <v>41</v>
      </c>
      <c r="B46" s="12" t="s">
        <v>114</v>
      </c>
      <c r="C46" s="12" t="s">
        <v>60</v>
      </c>
      <c r="D46" s="18">
        <v>46044</v>
      </c>
      <c r="E46" s="11">
        <v>15</v>
      </c>
      <c r="F46" s="19" t="str">
        <f>VLOOKUP(MID(B46,7,5),'Data Acuan'!$A$19:$E$25,2)</f>
        <v>Jakarta – Bali</v>
      </c>
      <c r="G46" s="20">
        <f>VLOOKUP(MID(B46,7,5),'Data Acuan'!$A$19:$E$25,3,0)</f>
        <v>0.25</v>
      </c>
      <c r="H46" s="20">
        <f>VLOOKUP(MID(B46,7,5),'Data Acuan'!$A$19:$E$25,4,0)</f>
        <v>0.33333333333333331</v>
      </c>
      <c r="I46" s="20">
        <f t="shared" si="0"/>
        <v>8.3333333333333315E-2</v>
      </c>
      <c r="J46" s="21">
        <f>VLOOKUP(MID(B46,7,5),'Data Acuan'!$A$19:$E$25,5,0)</f>
        <v>1200000</v>
      </c>
      <c r="K46" s="19" t="str">
        <f t="shared" si="1"/>
        <v>E</v>
      </c>
      <c r="L46" s="19">
        <f>HLOOKUP(K46,'Data Acuan'!$H$19:$J$21,3,0)</f>
        <v>1</v>
      </c>
      <c r="M46" s="22">
        <f t="shared" si="2"/>
        <v>1200000</v>
      </c>
      <c r="N46" s="23" t="str">
        <f t="shared" si="3"/>
        <v>0</v>
      </c>
      <c r="O46" s="22">
        <f t="shared" si="4"/>
        <v>1200000</v>
      </c>
      <c r="P46" s="19" t="str">
        <f t="shared" si="5"/>
        <v>Gratis</v>
      </c>
      <c r="Q46" s="19" t="str">
        <f t="shared" si="6"/>
        <v>Jarak Jauh</v>
      </c>
    </row>
    <row r="47" spans="1:17" x14ac:dyDescent="0.3">
      <c r="A47" s="11">
        <v>42</v>
      </c>
      <c r="B47" s="12" t="s">
        <v>115</v>
      </c>
      <c r="C47" s="12" t="s">
        <v>61</v>
      </c>
      <c r="D47" s="18">
        <v>46045</v>
      </c>
      <c r="E47" s="11">
        <v>27</v>
      </c>
      <c r="F47" s="19" t="str">
        <f>VLOOKUP(MID(B47,7,5),'Data Acuan'!$A$19:$E$25,2)</f>
        <v>Jakarta – Surabaya</v>
      </c>
      <c r="G47" s="20">
        <f>VLOOKUP(MID(B47,7,5),'Data Acuan'!$A$19:$E$25,3,0)</f>
        <v>0.3125</v>
      </c>
      <c r="H47" s="20">
        <f>VLOOKUP(MID(B47,7,5),'Data Acuan'!$A$19:$E$25,4,0)</f>
        <v>0.375</v>
      </c>
      <c r="I47" s="20">
        <f t="shared" si="0"/>
        <v>6.25E-2</v>
      </c>
      <c r="J47" s="21">
        <f>VLOOKUP(MID(B47,7,5),'Data Acuan'!$A$19:$E$25,5,0)</f>
        <v>900000</v>
      </c>
      <c r="K47" s="19" t="str">
        <f t="shared" si="1"/>
        <v>B</v>
      </c>
      <c r="L47" s="19">
        <f>HLOOKUP(K47,'Data Acuan'!$H$19:$J$21,3,0)</f>
        <v>1.5</v>
      </c>
      <c r="M47" s="22">
        <f t="shared" si="2"/>
        <v>1350000</v>
      </c>
      <c r="N47" s="23" t="str">
        <f t="shared" si="3"/>
        <v>150000</v>
      </c>
      <c r="O47" s="22">
        <f t="shared" si="4"/>
        <v>1500000</v>
      </c>
      <c r="P47" s="19" t="str">
        <f t="shared" si="5"/>
        <v>Berbayar</v>
      </c>
      <c r="Q47" s="19" t="str">
        <f t="shared" si="6"/>
        <v>Jarak Dekat</v>
      </c>
    </row>
    <row r="48" spans="1:17" x14ac:dyDescent="0.3">
      <c r="A48" s="11">
        <v>43</v>
      </c>
      <c r="B48" s="12" t="s">
        <v>116</v>
      </c>
      <c r="C48" s="12" t="s">
        <v>62</v>
      </c>
      <c r="D48" s="18">
        <v>46046</v>
      </c>
      <c r="E48" s="11">
        <v>35</v>
      </c>
      <c r="F48" s="19" t="str">
        <f>VLOOKUP(MID(B48,7,5),'Data Acuan'!$A$19:$E$25,2)</f>
        <v>Jakarta – Medan</v>
      </c>
      <c r="G48" s="20">
        <f>VLOOKUP(MID(B48,7,5),'Data Acuan'!$A$19:$E$25,3,0)</f>
        <v>0.33333333333333331</v>
      </c>
      <c r="H48" s="20">
        <f>VLOOKUP(MID(B48,7,5),'Data Acuan'!$A$19:$E$25,4,0)</f>
        <v>0.4375</v>
      </c>
      <c r="I48" s="20">
        <f t="shared" si="0"/>
        <v>0.10416666666666669</v>
      </c>
      <c r="J48" s="21">
        <f>VLOOKUP(MID(B48,7,5),'Data Acuan'!$A$19:$E$25,5,0)</f>
        <v>1500000</v>
      </c>
      <c r="K48" s="19" t="str">
        <f t="shared" si="1"/>
        <v>F</v>
      </c>
      <c r="L48" s="19">
        <f>HLOOKUP(K48,'Data Acuan'!$H$19:$J$21,3,0)</f>
        <v>2</v>
      </c>
      <c r="M48" s="22">
        <f t="shared" si="2"/>
        <v>3000000</v>
      </c>
      <c r="N48" s="23" t="str">
        <f t="shared" si="3"/>
        <v>500000</v>
      </c>
      <c r="O48" s="22">
        <f t="shared" si="4"/>
        <v>3500000</v>
      </c>
      <c r="P48" s="19" t="str">
        <f t="shared" si="5"/>
        <v>Berbayar</v>
      </c>
      <c r="Q48" s="19" t="str">
        <f t="shared" si="6"/>
        <v>Jarak Jauh</v>
      </c>
    </row>
    <row r="49" spans="1:17" x14ac:dyDescent="0.3">
      <c r="A49" s="11">
        <v>44</v>
      </c>
      <c r="B49" s="12" t="s">
        <v>117</v>
      </c>
      <c r="C49" s="12" t="s">
        <v>63</v>
      </c>
      <c r="D49" s="18">
        <v>46047</v>
      </c>
      <c r="E49" s="11">
        <v>20</v>
      </c>
      <c r="F49" s="19" t="str">
        <f>VLOOKUP(MID(B49,7,5),'Data Acuan'!$A$19:$E$25,2)</f>
        <v>Jakarta – Makassar</v>
      </c>
      <c r="G49" s="20">
        <f>VLOOKUP(MID(B49,7,5),'Data Acuan'!$A$19:$E$25,3,0)</f>
        <v>0.375</v>
      </c>
      <c r="H49" s="20">
        <f>VLOOKUP(MID(B49,7,5),'Data Acuan'!$A$19:$E$25,4,0)</f>
        <v>0.47916666666666669</v>
      </c>
      <c r="I49" s="20">
        <f t="shared" si="0"/>
        <v>0.10416666666666669</v>
      </c>
      <c r="J49" s="21">
        <f>VLOOKUP(MID(B49,7,5),'Data Acuan'!$A$19:$E$25,5,0)</f>
        <v>1800000</v>
      </c>
      <c r="K49" s="19" t="str">
        <f t="shared" si="1"/>
        <v>E</v>
      </c>
      <c r="L49" s="19">
        <f>HLOOKUP(K49,'Data Acuan'!$H$19:$J$21,3,0)</f>
        <v>1</v>
      </c>
      <c r="M49" s="22">
        <f t="shared" si="2"/>
        <v>1800000</v>
      </c>
      <c r="N49" s="23" t="str">
        <f t="shared" si="3"/>
        <v>0</v>
      </c>
      <c r="O49" s="22">
        <f t="shared" si="4"/>
        <v>1800000</v>
      </c>
      <c r="P49" s="19" t="str">
        <f t="shared" si="5"/>
        <v>Gratis</v>
      </c>
      <c r="Q49" s="19" t="str">
        <f t="shared" si="6"/>
        <v>Jarak Jauh</v>
      </c>
    </row>
    <row r="50" spans="1:17" x14ac:dyDescent="0.3">
      <c r="A50" s="11">
        <v>45</v>
      </c>
      <c r="B50" s="12" t="s">
        <v>118</v>
      </c>
      <c r="C50" s="12" t="s">
        <v>64</v>
      </c>
      <c r="D50" s="18">
        <v>46048</v>
      </c>
      <c r="E50" s="11">
        <v>25</v>
      </c>
      <c r="F50" s="19" t="str">
        <f>VLOOKUP(MID(B50,7,5),'Data Acuan'!$A$19:$E$25,2)</f>
        <v>Jakarta – Lombok</v>
      </c>
      <c r="G50" s="20">
        <f>VLOOKUP(MID(B50,7,5),'Data Acuan'!$A$19:$E$25,3,0)</f>
        <v>0.41666666666666669</v>
      </c>
      <c r="H50" s="20">
        <f>VLOOKUP(MID(B50,7,5),'Data Acuan'!$A$19:$E$25,4,0)</f>
        <v>0.5</v>
      </c>
      <c r="I50" s="20">
        <f t="shared" si="0"/>
        <v>8.3333333333333315E-2</v>
      </c>
      <c r="J50" s="21">
        <f>VLOOKUP(MID(B50,7,5),'Data Acuan'!$A$19:$E$25,5,0)</f>
        <v>1300000</v>
      </c>
      <c r="K50" s="19" t="str">
        <f t="shared" si="1"/>
        <v>B</v>
      </c>
      <c r="L50" s="19">
        <f>HLOOKUP(K50,'Data Acuan'!$H$19:$J$21,3,0)</f>
        <v>1.5</v>
      </c>
      <c r="M50" s="22">
        <f t="shared" si="2"/>
        <v>1950000</v>
      </c>
      <c r="N50" s="23" t="str">
        <f t="shared" si="3"/>
        <v>150000</v>
      </c>
      <c r="O50" s="22">
        <f t="shared" si="4"/>
        <v>2100000</v>
      </c>
      <c r="P50" s="19" t="str">
        <f t="shared" si="5"/>
        <v>Berbayar</v>
      </c>
      <c r="Q50" s="19" t="str">
        <f t="shared" si="6"/>
        <v>Jarak Jauh</v>
      </c>
    </row>
    <row r="51" spans="1:17" x14ac:dyDescent="0.3">
      <c r="A51" s="11">
        <v>46</v>
      </c>
      <c r="B51" s="12" t="s">
        <v>119</v>
      </c>
      <c r="C51" s="12" t="s">
        <v>65</v>
      </c>
      <c r="D51" s="18">
        <v>46049</v>
      </c>
      <c r="E51" s="11">
        <v>38</v>
      </c>
      <c r="F51" s="19" t="str">
        <f>VLOOKUP(MID(B51,7,5),'Data Acuan'!$A$19:$E$25,2)</f>
        <v>Jakarta – Bali</v>
      </c>
      <c r="G51" s="20">
        <f>VLOOKUP(MID(B51,7,5),'Data Acuan'!$A$19:$E$25,3,0)</f>
        <v>0.25</v>
      </c>
      <c r="H51" s="20">
        <f>VLOOKUP(MID(B51,7,5),'Data Acuan'!$A$19:$E$25,4,0)</f>
        <v>0.33333333333333331</v>
      </c>
      <c r="I51" s="20">
        <f t="shared" si="0"/>
        <v>8.3333333333333315E-2</v>
      </c>
      <c r="J51" s="21">
        <f>VLOOKUP(MID(B51,7,5),'Data Acuan'!$A$19:$E$25,5,0)</f>
        <v>1200000</v>
      </c>
      <c r="K51" s="19" t="str">
        <f t="shared" si="1"/>
        <v>F</v>
      </c>
      <c r="L51" s="19">
        <f>HLOOKUP(K51,'Data Acuan'!$H$19:$J$21,3,0)</f>
        <v>2</v>
      </c>
      <c r="M51" s="22">
        <f t="shared" si="2"/>
        <v>2400000</v>
      </c>
      <c r="N51" s="23" t="str">
        <f t="shared" si="3"/>
        <v>500000</v>
      </c>
      <c r="O51" s="22">
        <f t="shared" si="4"/>
        <v>2900000</v>
      </c>
      <c r="P51" s="19" t="str">
        <f t="shared" si="5"/>
        <v>Berbayar</v>
      </c>
      <c r="Q51" s="19" t="str">
        <f t="shared" si="6"/>
        <v>Jarak Jauh</v>
      </c>
    </row>
    <row r="52" spans="1:17" x14ac:dyDescent="0.3">
      <c r="A52" s="11">
        <v>47</v>
      </c>
      <c r="B52" s="12" t="s">
        <v>120</v>
      </c>
      <c r="C52" s="12" t="s">
        <v>66</v>
      </c>
      <c r="D52" s="18">
        <v>46050</v>
      </c>
      <c r="E52" s="11">
        <v>19</v>
      </c>
      <c r="F52" s="19" t="str">
        <f>VLOOKUP(MID(B52,7,5),'Data Acuan'!$A$19:$E$25,2)</f>
        <v>Jakarta – Surabaya</v>
      </c>
      <c r="G52" s="20">
        <f>VLOOKUP(MID(B52,7,5),'Data Acuan'!$A$19:$E$25,3,0)</f>
        <v>0.3125</v>
      </c>
      <c r="H52" s="20">
        <f>VLOOKUP(MID(B52,7,5),'Data Acuan'!$A$19:$E$25,4,0)</f>
        <v>0.375</v>
      </c>
      <c r="I52" s="20">
        <f t="shared" si="0"/>
        <v>6.25E-2</v>
      </c>
      <c r="J52" s="21">
        <f>VLOOKUP(MID(B52,7,5),'Data Acuan'!$A$19:$E$25,5,0)</f>
        <v>900000</v>
      </c>
      <c r="K52" s="19" t="str">
        <f t="shared" si="1"/>
        <v>E</v>
      </c>
      <c r="L52" s="19">
        <f>HLOOKUP(K52,'Data Acuan'!$H$19:$J$21,3,0)</f>
        <v>1</v>
      </c>
      <c r="M52" s="22">
        <f t="shared" si="2"/>
        <v>900000</v>
      </c>
      <c r="N52" s="23" t="str">
        <f t="shared" si="3"/>
        <v>0</v>
      </c>
      <c r="O52" s="22">
        <f t="shared" si="4"/>
        <v>900000</v>
      </c>
      <c r="P52" s="19" t="str">
        <f t="shared" si="5"/>
        <v>Gratis</v>
      </c>
      <c r="Q52" s="19" t="str">
        <f t="shared" si="6"/>
        <v>Jarak Dekat</v>
      </c>
    </row>
    <row r="53" spans="1:17" x14ac:dyDescent="0.3">
      <c r="A53" s="11">
        <v>48</v>
      </c>
      <c r="B53" s="12" t="s">
        <v>121</v>
      </c>
      <c r="C53" s="12" t="s">
        <v>67</v>
      </c>
      <c r="D53" s="18">
        <v>46051</v>
      </c>
      <c r="E53" s="11">
        <v>28</v>
      </c>
      <c r="F53" s="19" t="str">
        <f>VLOOKUP(MID(B53,7,5),'Data Acuan'!$A$19:$E$25,2)</f>
        <v>Jakarta – Medan</v>
      </c>
      <c r="G53" s="20">
        <f>VLOOKUP(MID(B53,7,5),'Data Acuan'!$A$19:$E$25,3,0)</f>
        <v>0.33333333333333331</v>
      </c>
      <c r="H53" s="20">
        <f>VLOOKUP(MID(B53,7,5),'Data Acuan'!$A$19:$E$25,4,0)</f>
        <v>0.4375</v>
      </c>
      <c r="I53" s="20">
        <f t="shared" si="0"/>
        <v>0.10416666666666669</v>
      </c>
      <c r="J53" s="21">
        <f>VLOOKUP(MID(B53,7,5),'Data Acuan'!$A$19:$E$25,5,0)</f>
        <v>1500000</v>
      </c>
      <c r="K53" s="19" t="str">
        <f t="shared" si="1"/>
        <v>B</v>
      </c>
      <c r="L53" s="19">
        <f>HLOOKUP(K53,'Data Acuan'!$H$19:$J$21,3,0)</f>
        <v>1.5</v>
      </c>
      <c r="M53" s="22">
        <f t="shared" si="2"/>
        <v>2250000</v>
      </c>
      <c r="N53" s="23" t="str">
        <f t="shared" si="3"/>
        <v>150000</v>
      </c>
      <c r="O53" s="22">
        <f t="shared" si="4"/>
        <v>2400000</v>
      </c>
      <c r="P53" s="19" t="str">
        <f t="shared" si="5"/>
        <v>Berbayar</v>
      </c>
      <c r="Q53" s="19" t="str">
        <f t="shared" si="6"/>
        <v>Jarak Jauh</v>
      </c>
    </row>
    <row r="54" spans="1:17" x14ac:dyDescent="0.3">
      <c r="A54" s="11">
        <v>49</v>
      </c>
      <c r="B54" s="12" t="s">
        <v>122</v>
      </c>
      <c r="C54" s="12" t="s">
        <v>68</v>
      </c>
      <c r="D54" s="18">
        <v>46052</v>
      </c>
      <c r="E54" s="11">
        <v>40</v>
      </c>
      <c r="F54" s="19" t="str">
        <f>VLOOKUP(MID(B54,7,5),'Data Acuan'!$A$19:$E$25,2)</f>
        <v>Jakarta – Makassar</v>
      </c>
      <c r="G54" s="20">
        <f>VLOOKUP(MID(B54,7,5),'Data Acuan'!$A$19:$E$25,3,0)</f>
        <v>0.375</v>
      </c>
      <c r="H54" s="20">
        <f>VLOOKUP(MID(B54,7,5),'Data Acuan'!$A$19:$E$25,4,0)</f>
        <v>0.47916666666666669</v>
      </c>
      <c r="I54" s="20">
        <f t="shared" si="0"/>
        <v>0.10416666666666669</v>
      </c>
      <c r="J54" s="21">
        <f>VLOOKUP(MID(B54,7,5),'Data Acuan'!$A$19:$E$25,5,0)</f>
        <v>1800000</v>
      </c>
      <c r="K54" s="19" t="str">
        <f t="shared" si="1"/>
        <v>F</v>
      </c>
      <c r="L54" s="19">
        <f>HLOOKUP(K54,'Data Acuan'!$H$19:$J$21,3,0)</f>
        <v>2</v>
      </c>
      <c r="M54" s="22">
        <f t="shared" si="2"/>
        <v>3600000</v>
      </c>
      <c r="N54" s="23" t="str">
        <f t="shared" si="3"/>
        <v>800000</v>
      </c>
      <c r="O54" s="22">
        <f t="shared" si="4"/>
        <v>4400000</v>
      </c>
      <c r="P54" s="19" t="str">
        <f t="shared" si="5"/>
        <v>Berbayar</v>
      </c>
      <c r="Q54" s="19" t="str">
        <f t="shared" si="6"/>
        <v>Jarak Jauh</v>
      </c>
    </row>
    <row r="55" spans="1:17" x14ac:dyDescent="0.3">
      <c r="A55" s="11">
        <v>50</v>
      </c>
      <c r="B55" s="12" t="s">
        <v>123</v>
      </c>
      <c r="C55" s="12" t="s">
        <v>69</v>
      </c>
      <c r="D55" s="18">
        <v>46053</v>
      </c>
      <c r="E55" s="11">
        <v>16</v>
      </c>
      <c r="F55" s="19" t="str">
        <f>VLOOKUP(MID(B55,7,5),'Data Acuan'!$A$19:$E$25,2)</f>
        <v>Jakarta – Lombok</v>
      </c>
      <c r="G55" s="20">
        <f>VLOOKUP(MID(B55,7,5),'Data Acuan'!$A$19:$E$25,3,0)</f>
        <v>0.41666666666666669</v>
      </c>
      <c r="H55" s="20">
        <f>VLOOKUP(MID(B55,7,5),'Data Acuan'!$A$19:$E$25,4,0)</f>
        <v>0.5</v>
      </c>
      <c r="I55" s="20">
        <f t="shared" si="0"/>
        <v>8.3333333333333315E-2</v>
      </c>
      <c r="J55" s="21">
        <f>VLOOKUP(MID(B55,7,5),'Data Acuan'!$A$19:$E$25,5,0)</f>
        <v>1300000</v>
      </c>
      <c r="K55" s="19" t="str">
        <f t="shared" si="1"/>
        <v>E</v>
      </c>
      <c r="L55" s="19">
        <f>HLOOKUP(K55,'Data Acuan'!$H$19:$J$21,3,0)</f>
        <v>1</v>
      </c>
      <c r="M55" s="22">
        <f t="shared" si="2"/>
        <v>1300000</v>
      </c>
      <c r="N55" s="23" t="str">
        <f t="shared" si="3"/>
        <v>0</v>
      </c>
      <c r="O55" s="22">
        <f t="shared" si="4"/>
        <v>1300000</v>
      </c>
      <c r="P55" s="19" t="str">
        <f t="shared" si="5"/>
        <v>Gratis</v>
      </c>
      <c r="Q55" s="19" t="str">
        <f t="shared" si="6"/>
        <v>Jarak Jauh</v>
      </c>
    </row>
  </sheetData>
  <mergeCells count="2">
    <mergeCell ref="A1:Q1"/>
    <mergeCell ref="A2:Q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
  <sheetViews>
    <sheetView zoomScale="73" zoomScaleNormal="73" workbookViewId="0">
      <selection activeCell="F29" sqref="F29"/>
    </sheetView>
  </sheetViews>
  <sheetFormatPr defaultRowHeight="14.4" x14ac:dyDescent="0.3"/>
  <cols>
    <col min="1" max="1" width="26.6640625" bestFit="1" customWidth="1"/>
    <col min="2" max="2" width="19.109375" bestFit="1" customWidth="1"/>
    <col min="3" max="3" width="12.77734375" bestFit="1" customWidth="1"/>
    <col min="4" max="4" width="14" bestFit="1" customWidth="1"/>
    <col min="5" max="5" width="15" bestFit="1" customWidth="1"/>
    <col min="6" max="6" width="17.21875" bestFit="1" customWidth="1"/>
    <col min="7" max="7" width="18.6640625" bestFit="1" customWidth="1"/>
    <col min="8" max="8" width="10.77734375" bestFit="1" customWidth="1"/>
  </cols>
  <sheetData>
    <row r="1" spans="1:8" x14ac:dyDescent="0.3">
      <c r="A1" s="6" t="s">
        <v>174</v>
      </c>
    </row>
    <row r="3" spans="1:8" x14ac:dyDescent="0.3">
      <c r="A3" s="56" t="s">
        <v>212</v>
      </c>
      <c r="B3" s="56" t="s">
        <v>142</v>
      </c>
      <c r="C3" s="57"/>
      <c r="D3" s="57"/>
      <c r="F3" t="s">
        <v>212</v>
      </c>
    </row>
    <row r="4" spans="1:8" x14ac:dyDescent="0.3">
      <c r="A4" s="56" t="s">
        <v>139</v>
      </c>
      <c r="B4" s="57" t="s">
        <v>137</v>
      </c>
      <c r="C4" s="57" t="s">
        <v>136</v>
      </c>
      <c r="D4" s="57" t="s">
        <v>138</v>
      </c>
      <c r="F4" s="60">
        <v>109900000</v>
      </c>
    </row>
    <row r="5" spans="1:8" x14ac:dyDescent="0.3">
      <c r="A5" s="57" t="s">
        <v>128</v>
      </c>
      <c r="B5" s="58">
        <v>3750000</v>
      </c>
      <c r="C5" s="58">
        <v>6000000</v>
      </c>
      <c r="D5" s="58">
        <v>9000000</v>
      </c>
    </row>
    <row r="6" spans="1:8" x14ac:dyDescent="0.3">
      <c r="A6" s="57" t="s">
        <v>132</v>
      </c>
      <c r="B6" s="58">
        <v>8250000</v>
      </c>
      <c r="C6" s="58">
        <v>3900000</v>
      </c>
      <c r="D6" s="58">
        <v>9900000</v>
      </c>
      <c r="F6" s="54" t="s">
        <v>213</v>
      </c>
      <c r="G6" t="s">
        <v>212</v>
      </c>
    </row>
    <row r="7" spans="1:8" x14ac:dyDescent="0.3">
      <c r="A7" s="57" t="s">
        <v>131</v>
      </c>
      <c r="B7" s="58">
        <v>8550000</v>
      </c>
      <c r="C7" s="58">
        <v>5400000</v>
      </c>
      <c r="D7" s="58">
        <v>16800000</v>
      </c>
      <c r="F7" s="55" t="s">
        <v>221</v>
      </c>
      <c r="G7" s="60">
        <v>33600000</v>
      </c>
      <c r="H7" t="str">
        <f>INDEX(F7:F9,MATCH(MAX(G7:G9),G7:G9,0))</f>
        <v>FIRST CLASS</v>
      </c>
    </row>
    <row r="8" spans="1:8" x14ac:dyDescent="0.3">
      <c r="A8" s="57" t="s">
        <v>130</v>
      </c>
      <c r="B8" s="58">
        <v>7200000</v>
      </c>
      <c r="C8" s="58">
        <v>6000000</v>
      </c>
      <c r="D8" s="58">
        <v>10100000</v>
      </c>
      <c r="F8" s="55" t="s">
        <v>222</v>
      </c>
      <c r="G8" s="60">
        <v>24000000</v>
      </c>
    </row>
    <row r="9" spans="1:8" x14ac:dyDescent="0.3">
      <c r="A9" s="57" t="s">
        <v>129</v>
      </c>
      <c r="B9" s="58">
        <v>5850000</v>
      </c>
      <c r="C9" s="58">
        <v>2700000</v>
      </c>
      <c r="D9" s="58">
        <v>6500000</v>
      </c>
      <c r="F9" s="55" t="s">
        <v>223</v>
      </c>
      <c r="G9" s="60">
        <v>52300000</v>
      </c>
    </row>
    <row r="11" spans="1:8" x14ac:dyDescent="0.3">
      <c r="F11" t="s">
        <v>220</v>
      </c>
    </row>
    <row r="12" spans="1:8" x14ac:dyDescent="0.3">
      <c r="A12" s="56" t="s">
        <v>216</v>
      </c>
      <c r="B12" s="56" t="s">
        <v>214</v>
      </c>
      <c r="C12" s="57"/>
      <c r="F12" s="61">
        <v>8.7499999999999994E-2</v>
      </c>
    </row>
    <row r="13" spans="1:8" x14ac:dyDescent="0.3">
      <c r="A13" s="56" t="s">
        <v>213</v>
      </c>
      <c r="B13" s="57" t="s">
        <v>217</v>
      </c>
      <c r="C13" s="57" t="s">
        <v>215</v>
      </c>
    </row>
    <row r="14" spans="1:8" x14ac:dyDescent="0.3">
      <c r="A14" s="57" t="s">
        <v>128</v>
      </c>
      <c r="B14" s="59">
        <v>5</v>
      </c>
      <c r="C14" s="59">
        <v>5</v>
      </c>
    </row>
    <row r="15" spans="1:8" x14ac:dyDescent="0.3">
      <c r="A15" s="57" t="s">
        <v>132</v>
      </c>
      <c r="B15" s="59">
        <v>7</v>
      </c>
      <c r="C15" s="59">
        <v>3</v>
      </c>
    </row>
    <row r="16" spans="1:8" x14ac:dyDescent="0.3">
      <c r="A16" s="57" t="s">
        <v>131</v>
      </c>
      <c r="B16" s="59">
        <v>7</v>
      </c>
      <c r="C16" s="59">
        <v>3</v>
      </c>
    </row>
    <row r="17" spans="1:3" x14ac:dyDescent="0.3">
      <c r="A17" s="57" t="s">
        <v>130</v>
      </c>
      <c r="B17" s="59">
        <v>7</v>
      </c>
      <c r="C17" s="59">
        <v>3</v>
      </c>
    </row>
    <row r="18" spans="1:3" x14ac:dyDescent="0.3">
      <c r="A18" s="57" t="s">
        <v>129</v>
      </c>
      <c r="B18" s="59">
        <v>7</v>
      </c>
      <c r="C18" s="59">
        <v>3</v>
      </c>
    </row>
    <row r="21" spans="1:3" x14ac:dyDescent="0.3">
      <c r="A21" s="54" t="s">
        <v>213</v>
      </c>
      <c r="B21" t="s">
        <v>220</v>
      </c>
    </row>
    <row r="22" spans="1:3" x14ac:dyDescent="0.3">
      <c r="A22" s="55" t="s">
        <v>218</v>
      </c>
      <c r="B22" s="61">
        <v>6.25E-2</v>
      </c>
    </row>
    <row r="23" spans="1:3" x14ac:dyDescent="0.3">
      <c r="A23" s="55" t="s">
        <v>219</v>
      </c>
      <c r="B23" s="61">
        <v>9.375E-2</v>
      </c>
    </row>
  </sheetData>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DEA34-553E-4F7D-8160-397F45F8EBB9}">
  <dimension ref="A1"/>
  <sheetViews>
    <sheetView showGridLines="0" zoomScale="63" workbookViewId="0">
      <selection activeCell="AA25" sqref="AA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Diri (Wajib Diisi)</vt:lpstr>
      <vt:lpstr>Data Acuan</vt:lpstr>
      <vt:lpstr>Jawaban</vt:lpstr>
      <vt:lpstr>Pivot Table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daffa azhari</cp:lastModifiedBy>
  <dcterms:created xsi:type="dcterms:W3CDTF">2026-01-05T13:19:43Z</dcterms:created>
  <dcterms:modified xsi:type="dcterms:W3CDTF">2026-01-11T03:44:19Z</dcterms:modified>
</cp:coreProperties>
</file>