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har\Documents\FOLDER FULL PELATIHAN\FULL BELAJAR EXCEL\FULL EXCEL\SOAL\"/>
    </mc:Choice>
  </mc:AlternateContent>
  <xr:revisionPtr revIDLastSave="0" documentId="13_ncr:1_{357B61E4-54C9-4FA9-A673-A436B62ED6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_Acuan" sheetId="2" r:id="rId1"/>
    <sheet name="Soal" sheetId="3" r:id="rId2"/>
    <sheet name="Jawaban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3" l="1"/>
  <c r="G47" i="3"/>
  <c r="G48" i="3"/>
  <c r="G49" i="3"/>
  <c r="G50" i="3"/>
  <c r="G45" i="3"/>
  <c r="F45" i="3"/>
  <c r="F50" i="3"/>
  <c r="F48" i="3"/>
  <c r="F47" i="3"/>
  <c r="F46" i="3"/>
  <c r="M5" i="3"/>
  <c r="M28" i="3"/>
  <c r="M29" i="3"/>
  <c r="H9" i="3"/>
  <c r="J9" i="3" s="1" a="1"/>
  <c r="J9" i="3" s="1"/>
  <c r="H20" i="3"/>
  <c r="G2" i="3"/>
  <c r="H2" i="3" s="1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J8" i="3" s="1" a="1"/>
  <c r="J8" i="3" s="1"/>
  <c r="G9" i="3"/>
  <c r="G10" i="3"/>
  <c r="H10" i="3" s="1"/>
  <c r="J10" i="3" s="1" a="1"/>
  <c r="J10" i="3" s="1"/>
  <c r="G11" i="3"/>
  <c r="H11" i="3" s="1"/>
  <c r="J11" i="3" s="1" a="1"/>
  <c r="J11" i="3" s="1"/>
  <c r="K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G21" i="3"/>
  <c r="H21" i="3" s="1"/>
  <c r="G22" i="3"/>
  <c r="H22" i="3" s="1"/>
  <c r="G23" i="3"/>
  <c r="H23" i="3" s="1"/>
  <c r="J23" i="3" s="1" a="1"/>
  <c r="J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D2" i="3"/>
  <c r="M2" i="3" s="1"/>
  <c r="D3" i="3"/>
  <c r="M3" i="3" s="1"/>
  <c r="D4" i="3"/>
  <c r="M4" i="3" s="1"/>
  <c r="D5" i="3"/>
  <c r="D6" i="3"/>
  <c r="M6" i="3" s="1"/>
  <c r="D7" i="3"/>
  <c r="M7" i="3" s="1"/>
  <c r="D8" i="3"/>
  <c r="M8" i="3" s="1"/>
  <c r="D9" i="3"/>
  <c r="M9" i="3" s="1"/>
  <c r="D10" i="3"/>
  <c r="M10" i="3" s="1"/>
  <c r="D11" i="3"/>
  <c r="M11" i="3" s="1"/>
  <c r="D12" i="3"/>
  <c r="M12" i="3" s="1"/>
  <c r="D13" i="3"/>
  <c r="M13" i="3" s="1"/>
  <c r="D14" i="3"/>
  <c r="M14" i="3" s="1"/>
  <c r="D15" i="3"/>
  <c r="M15" i="3" s="1"/>
  <c r="D16" i="3"/>
  <c r="M16" i="3" s="1"/>
  <c r="D17" i="3"/>
  <c r="M17" i="3" s="1"/>
  <c r="D18" i="3"/>
  <c r="M18" i="3" s="1"/>
  <c r="D19" i="3"/>
  <c r="M19" i="3" s="1"/>
  <c r="D20" i="3"/>
  <c r="M20" i="3" s="1"/>
  <c r="D21" i="3"/>
  <c r="M21" i="3" s="1"/>
  <c r="D22" i="3"/>
  <c r="M22" i="3" s="1"/>
  <c r="D23" i="3"/>
  <c r="M23" i="3" s="1"/>
  <c r="D24" i="3"/>
  <c r="M24" i="3" s="1"/>
  <c r="D25" i="3"/>
  <c r="M25" i="3" s="1"/>
  <c r="D26" i="3"/>
  <c r="M26" i="3" s="1"/>
  <c r="D27" i="3"/>
  <c r="M27" i="3" s="1"/>
  <c r="D28" i="3"/>
  <c r="D29" i="3"/>
  <c r="D30" i="3"/>
  <c r="M30" i="3" s="1"/>
  <c r="D31" i="3"/>
  <c r="M31" i="3" s="1"/>
  <c r="C2" i="3"/>
  <c r="C3" i="3"/>
  <c r="I3" i="3" s="1"/>
  <c r="C4" i="3"/>
  <c r="I4" i="3" s="1"/>
  <c r="C5" i="3"/>
  <c r="I5" i="3" s="1"/>
  <c r="C6" i="3"/>
  <c r="I6" i="3" s="1"/>
  <c r="C7" i="3"/>
  <c r="I7" i="3" s="1"/>
  <c r="C8" i="3"/>
  <c r="I8" i="3" s="1"/>
  <c r="C9" i="3"/>
  <c r="C10" i="3"/>
  <c r="C11" i="3"/>
  <c r="I11" i="3" s="1"/>
  <c r="C12" i="3"/>
  <c r="I12" i="3" s="1"/>
  <c r="C13" i="3"/>
  <c r="C14" i="3"/>
  <c r="I14" i="3" s="1"/>
  <c r="C15" i="3"/>
  <c r="I15" i="3" s="1"/>
  <c r="C16" i="3"/>
  <c r="I16" i="3" s="1"/>
  <c r="C17" i="3"/>
  <c r="I17" i="3" s="1"/>
  <c r="C18" i="3"/>
  <c r="I18" i="3" s="1"/>
  <c r="C19" i="3"/>
  <c r="I19" i="3" s="1"/>
  <c r="C20" i="3"/>
  <c r="I20" i="3" s="1"/>
  <c r="C21" i="3"/>
  <c r="C22" i="3"/>
  <c r="C23" i="3"/>
  <c r="I23" i="3" s="1"/>
  <c r="C24" i="3"/>
  <c r="C25" i="3"/>
  <c r="C26" i="3"/>
  <c r="I26" i="3" s="1"/>
  <c r="C27" i="3"/>
  <c r="I27" i="3" s="1"/>
  <c r="C28" i="3"/>
  <c r="I28" i="3" s="1"/>
  <c r="C29" i="3"/>
  <c r="C30" i="3"/>
  <c r="I30" i="3" s="1"/>
  <c r="C31" i="3"/>
  <c r="I31" i="3" s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2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F41" i="1"/>
  <c r="F50" i="1"/>
  <c r="G50" i="1"/>
  <c r="F37" i="1"/>
  <c r="F46" i="1"/>
  <c r="G46" i="1"/>
  <c r="F38" i="1"/>
  <c r="F47" i="1"/>
  <c r="G47" i="1"/>
  <c r="F39" i="1"/>
  <c r="F48" i="1"/>
  <c r="G48" i="1"/>
  <c r="F36" i="1"/>
  <c r="F45" i="1"/>
  <c r="G45" i="1"/>
  <c r="F40" i="1"/>
  <c r="F49" i="1"/>
  <c r="G49" i="1"/>
  <c r="M2" i="1"/>
  <c r="I2" i="1"/>
  <c r="M28" i="1"/>
  <c r="I28" i="1"/>
  <c r="M24" i="1"/>
  <c r="I24" i="1"/>
  <c r="M20" i="1"/>
  <c r="I20" i="1"/>
  <c r="M16" i="1"/>
  <c r="I16" i="1"/>
  <c r="M12" i="1"/>
  <c r="I12" i="1"/>
  <c r="M8" i="1"/>
  <c r="I8" i="1"/>
  <c r="M4" i="1"/>
  <c r="I4" i="1"/>
  <c r="M31" i="1"/>
  <c r="I31" i="1"/>
  <c r="M27" i="1"/>
  <c r="I27" i="1"/>
  <c r="M23" i="1"/>
  <c r="I23" i="1"/>
  <c r="M19" i="1"/>
  <c r="I19" i="1"/>
  <c r="M15" i="1"/>
  <c r="I15" i="1"/>
  <c r="M11" i="1"/>
  <c r="I11" i="1"/>
  <c r="M7" i="1"/>
  <c r="I7" i="1"/>
  <c r="M3" i="1"/>
  <c r="I3" i="1"/>
  <c r="M30" i="1"/>
  <c r="I30" i="1"/>
  <c r="M26" i="1"/>
  <c r="I26" i="1"/>
  <c r="M22" i="1"/>
  <c r="I22" i="1"/>
  <c r="M18" i="1"/>
  <c r="I18" i="1"/>
  <c r="M14" i="1"/>
  <c r="I14" i="1"/>
  <c r="M10" i="1"/>
  <c r="I10" i="1"/>
  <c r="M6" i="1"/>
  <c r="I6" i="1"/>
  <c r="M29" i="1"/>
  <c r="I29" i="1"/>
  <c r="M25" i="1"/>
  <c r="I25" i="1"/>
  <c r="M21" i="1"/>
  <c r="I21" i="1"/>
  <c r="M17" i="1"/>
  <c r="I17" i="1"/>
  <c r="M13" i="1"/>
  <c r="I13" i="1"/>
  <c r="M9" i="1"/>
  <c r="I9" i="1"/>
  <c r="M5" i="1"/>
  <c r="I5" i="1"/>
  <c r="J25" i="1"/>
  <c r="J21" i="1"/>
  <c r="J13" i="1"/>
  <c r="J9" i="1"/>
  <c r="J2" i="1"/>
  <c r="J28" i="1"/>
  <c r="J24" i="1"/>
  <c r="J20" i="1"/>
  <c r="J16" i="1"/>
  <c r="J12" i="1"/>
  <c r="J8" i="1"/>
  <c r="J4" i="1"/>
  <c r="J29" i="1"/>
  <c r="J17" i="1"/>
  <c r="J5" i="1"/>
  <c r="J30" i="1"/>
  <c r="J26" i="1"/>
  <c r="J22" i="1"/>
  <c r="J18" i="1"/>
  <c r="J14" i="1"/>
  <c r="J10" i="1"/>
  <c r="J6" i="1"/>
  <c r="J31" i="1"/>
  <c r="J27" i="1"/>
  <c r="J23" i="1"/>
  <c r="J19" i="1"/>
  <c r="J15" i="1"/>
  <c r="J11" i="1"/>
  <c r="J7" i="1"/>
  <c r="J3" i="1"/>
  <c r="K31" i="1"/>
  <c r="L31" i="1"/>
  <c r="N31" i="1"/>
  <c r="K3" i="1"/>
  <c r="L3" i="1"/>
  <c r="N3" i="1"/>
  <c r="K19" i="1"/>
  <c r="L19" i="1"/>
  <c r="N19" i="1"/>
  <c r="K6" i="1"/>
  <c r="L6" i="1"/>
  <c r="N6" i="1"/>
  <c r="K22" i="1"/>
  <c r="L22" i="1"/>
  <c r="N22" i="1"/>
  <c r="K17" i="1"/>
  <c r="L17" i="1"/>
  <c r="N17" i="1"/>
  <c r="K12" i="1"/>
  <c r="L12" i="1"/>
  <c r="N12" i="1"/>
  <c r="K28" i="1"/>
  <c r="L28" i="1"/>
  <c r="N28" i="1"/>
  <c r="K21" i="1"/>
  <c r="L21" i="1"/>
  <c r="N21" i="1"/>
  <c r="K7" i="1"/>
  <c r="L7" i="1"/>
  <c r="N7" i="1"/>
  <c r="K10" i="1"/>
  <c r="L10" i="1"/>
  <c r="N10" i="1"/>
  <c r="K26" i="1"/>
  <c r="L26" i="1"/>
  <c r="N26" i="1"/>
  <c r="K29" i="1"/>
  <c r="L29" i="1"/>
  <c r="N29" i="1"/>
  <c r="K16" i="1"/>
  <c r="L16" i="1"/>
  <c r="N16" i="1"/>
  <c r="K2" i="1"/>
  <c r="L2" i="1"/>
  <c r="N2" i="1"/>
  <c r="K25" i="1"/>
  <c r="L25" i="1"/>
  <c r="N25" i="1"/>
  <c r="K23" i="1"/>
  <c r="L23" i="1"/>
  <c r="N23" i="1"/>
  <c r="K11" i="1"/>
  <c r="L11" i="1"/>
  <c r="N11" i="1"/>
  <c r="K27" i="1"/>
  <c r="L27" i="1"/>
  <c r="N27" i="1"/>
  <c r="K14" i="1"/>
  <c r="L14" i="1"/>
  <c r="N14" i="1"/>
  <c r="K30" i="1"/>
  <c r="L30" i="1"/>
  <c r="N30" i="1"/>
  <c r="K4" i="1"/>
  <c r="L4" i="1"/>
  <c r="N4" i="1"/>
  <c r="K20" i="1"/>
  <c r="L20" i="1"/>
  <c r="N20" i="1"/>
  <c r="K9" i="1"/>
  <c r="L9" i="1"/>
  <c r="N9" i="1"/>
  <c r="K15" i="1"/>
  <c r="L15" i="1"/>
  <c r="N15" i="1"/>
  <c r="K18" i="1"/>
  <c r="L18" i="1"/>
  <c r="N18" i="1"/>
  <c r="K5" i="1"/>
  <c r="L5" i="1"/>
  <c r="N5" i="1"/>
  <c r="K8" i="1"/>
  <c r="L8" i="1"/>
  <c r="N8" i="1"/>
  <c r="K24" i="1"/>
  <c r="L24" i="1"/>
  <c r="N24" i="1"/>
  <c r="K13" i="1"/>
  <c r="L13" i="1"/>
  <c r="N13" i="1"/>
  <c r="F37" i="3" l="1"/>
  <c r="F36" i="3"/>
  <c r="F41" i="3"/>
  <c r="F39" i="3"/>
  <c r="I22" i="3"/>
  <c r="I10" i="3"/>
  <c r="I21" i="3"/>
  <c r="I9" i="3"/>
  <c r="I25" i="3"/>
  <c r="J31" i="3" a="1"/>
  <c r="J31" i="3" s="1"/>
  <c r="J19" i="3" a="1"/>
  <c r="J19" i="3" s="1"/>
  <c r="J7" i="3" a="1"/>
  <c r="J7" i="3" s="1"/>
  <c r="K9" i="3"/>
  <c r="L9" i="3" s="1"/>
  <c r="N9" i="3"/>
  <c r="K8" i="3"/>
  <c r="L8" i="3" s="1"/>
  <c r="N8" i="3"/>
  <c r="J26" i="3" a="1"/>
  <c r="J26" i="3" s="1"/>
  <c r="J14" i="3" a="1"/>
  <c r="J14" i="3" s="1"/>
  <c r="J2" i="3" a="1"/>
  <c r="J2" i="3" s="1"/>
  <c r="J16" i="3" a="1"/>
  <c r="J16" i="3" s="1"/>
  <c r="K23" i="3"/>
  <c r="L23" i="3" s="1"/>
  <c r="N23" i="3"/>
  <c r="J24" i="3" a="1"/>
  <c r="J24" i="3" s="1"/>
  <c r="J12" i="3" a="1"/>
  <c r="J12" i="3" s="1"/>
  <c r="J18" i="3" a="1"/>
  <c r="J18" i="3" s="1"/>
  <c r="J17" i="3" a="1"/>
  <c r="J17" i="3" s="1"/>
  <c r="J15" i="3" a="1"/>
  <c r="J15" i="3" s="1"/>
  <c r="J3" i="3" a="1"/>
  <c r="J3" i="3" s="1"/>
  <c r="J6" i="3" a="1"/>
  <c r="J6" i="3" s="1"/>
  <c r="J4" i="3" a="1"/>
  <c r="J4" i="3" s="1"/>
  <c r="J27" i="3" a="1"/>
  <c r="J27" i="3" s="1"/>
  <c r="J25" i="3" a="1"/>
  <c r="J25" i="3" s="1"/>
  <c r="J13" i="3" a="1"/>
  <c r="J13" i="3" s="1"/>
  <c r="J30" i="3" a="1"/>
  <c r="J30" i="3" s="1"/>
  <c r="J29" i="3" a="1"/>
  <c r="J29" i="3" s="1"/>
  <c r="J5" i="3" a="1"/>
  <c r="J5" i="3" s="1"/>
  <c r="J28" i="3" a="1"/>
  <c r="J28" i="3" s="1"/>
  <c r="L11" i="3"/>
  <c r="K10" i="3"/>
  <c r="L10" i="3" s="1"/>
  <c r="N10" i="3"/>
  <c r="I29" i="3"/>
  <c r="J22" i="3" a="1"/>
  <c r="J22" i="3" s="1"/>
  <c r="N11" i="3"/>
  <c r="J21" i="3" a="1"/>
  <c r="J21" i="3" s="1"/>
  <c r="I2" i="3"/>
  <c r="I13" i="3"/>
  <c r="J20" i="3" a="1"/>
  <c r="J20" i="3" s="1"/>
  <c r="I24" i="3"/>
  <c r="F38" i="3"/>
  <c r="F40" i="3"/>
  <c r="K6" i="3" l="1"/>
  <c r="L6" i="3" s="1"/>
  <c r="N6" i="3"/>
  <c r="N3" i="3"/>
  <c r="K3" i="3"/>
  <c r="L3" i="3" s="1"/>
  <c r="K30" i="3"/>
  <c r="L30" i="3" s="1"/>
  <c r="N30" i="3"/>
  <c r="K16" i="3"/>
  <c r="L16" i="3" s="1"/>
  <c r="N16" i="3"/>
  <c r="K17" i="3"/>
  <c r="L17" i="3" s="1"/>
  <c r="N17" i="3"/>
  <c r="K7" i="3"/>
  <c r="L7" i="3" s="1"/>
  <c r="N7" i="3"/>
  <c r="K22" i="3"/>
  <c r="L22" i="3" s="1"/>
  <c r="N22" i="3"/>
  <c r="K28" i="3"/>
  <c r="L28" i="3" s="1"/>
  <c r="N28" i="3"/>
  <c r="K27" i="3"/>
  <c r="L27" i="3" s="1"/>
  <c r="N27" i="3"/>
  <c r="K2" i="3"/>
  <c r="L2" i="3" s="1"/>
  <c r="N2" i="3"/>
  <c r="K19" i="3"/>
  <c r="L19" i="3" s="1"/>
  <c r="N19" i="3"/>
  <c r="K26" i="3"/>
  <c r="L26" i="3" s="1"/>
  <c r="N26" i="3"/>
  <c r="K24" i="3"/>
  <c r="L24" i="3" s="1"/>
  <c r="N24" i="3"/>
  <c r="N15" i="3"/>
  <c r="K15" i="3"/>
  <c r="L15" i="3" s="1"/>
  <c r="K5" i="3"/>
  <c r="L5" i="3" s="1"/>
  <c r="N5" i="3"/>
  <c r="K18" i="3"/>
  <c r="L18" i="3" s="1"/>
  <c r="N18" i="3"/>
  <c r="K25" i="3"/>
  <c r="L25" i="3" s="1"/>
  <c r="N25" i="3"/>
  <c r="K4" i="3"/>
  <c r="L4" i="3" s="1"/>
  <c r="N4" i="3"/>
  <c r="K14" i="3"/>
  <c r="L14" i="3" s="1"/>
  <c r="N14" i="3"/>
  <c r="K31" i="3"/>
  <c r="L31" i="3" s="1"/>
  <c r="N31" i="3"/>
  <c r="K12" i="3"/>
  <c r="L12" i="3" s="1"/>
  <c r="N12" i="3"/>
  <c r="K13" i="3"/>
  <c r="L13" i="3" s="1"/>
  <c r="N13" i="3"/>
  <c r="K20" i="3"/>
  <c r="L20" i="3" s="1"/>
  <c r="N20" i="3"/>
  <c r="K29" i="3"/>
  <c r="L29" i="3" s="1"/>
  <c r="N29" i="3"/>
  <c r="K21" i="3"/>
  <c r="L21" i="3" s="1"/>
  <c r="N2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<sst xmlns="http://schemas.openxmlformats.org/spreadsheetml/2006/main" count="254" uniqueCount="89">
  <si>
    <t>NO</t>
  </si>
  <si>
    <t>ID PRODUK</t>
  </si>
  <si>
    <t>NAMA PRODUK</t>
  </si>
  <si>
    <t>METODE PEMBAYARAN</t>
  </si>
  <si>
    <t>JUMLAH TERJUAL</t>
  </si>
  <si>
    <t>HARGA PRODUK</t>
  </si>
  <si>
    <t>DISKON</t>
  </si>
  <si>
    <t>BIAYA ADMIN</t>
  </si>
  <si>
    <t>TOTAL KESELURUHAN</t>
  </si>
  <si>
    <t>BONUS</t>
  </si>
  <si>
    <t>STATUS PEMBAYARAN</t>
  </si>
  <si>
    <t>TOKO ELEKTRONIK "TECHZINE"</t>
  </si>
  <si>
    <t>Jl.Supernova No.13, Selatan, Yunlo</t>
  </si>
  <si>
    <t>Lenovo Idepad</t>
  </si>
  <si>
    <t>Acer Aspire 5</t>
  </si>
  <si>
    <t>Logitech Mouse</t>
  </si>
  <si>
    <t>Samsung A15</t>
  </si>
  <si>
    <t>AirPods Gen-2</t>
  </si>
  <si>
    <t>Laptop</t>
  </si>
  <si>
    <t>Aksesoris</t>
  </si>
  <si>
    <t>Smartphone</t>
  </si>
  <si>
    <t>001/LE/493/L</t>
  </si>
  <si>
    <t>002/AC/448/L</t>
  </si>
  <si>
    <t>003/LO/736/A</t>
  </si>
  <si>
    <t>004/AI/836/A</t>
  </si>
  <si>
    <t>005/SA/704/S</t>
  </si>
  <si>
    <t>006/IP/019/S</t>
  </si>
  <si>
    <t>NAMA PEMBELI</t>
  </si>
  <si>
    <t>Lamianti Wulan</t>
  </si>
  <si>
    <t>Melvin Indrawan</t>
  </si>
  <si>
    <t>Susanti</t>
  </si>
  <si>
    <t>Mawar Kumala</t>
  </si>
  <si>
    <t>Sari Intan</t>
  </si>
  <si>
    <t>Mei Long</t>
  </si>
  <si>
    <t>Liu Shishi</t>
  </si>
  <si>
    <t>Zhang Yunlong</t>
  </si>
  <si>
    <t>Cheng Xiao</t>
  </si>
  <si>
    <t>Meimei</t>
  </si>
  <si>
    <t>Gumawan Hidayat</t>
  </si>
  <si>
    <t>Nio Kusmandi</t>
  </si>
  <si>
    <t>Gamang Indra</t>
  </si>
  <si>
    <t>Xu Kai</t>
  </si>
  <si>
    <t>Zhou Shen</t>
  </si>
  <si>
    <t>Tia Ray</t>
  </si>
  <si>
    <t>Tania Turnia</t>
  </si>
  <si>
    <t>Cici Islana</t>
  </si>
  <si>
    <t>Meithania</t>
  </si>
  <si>
    <t>Shen Yue</t>
  </si>
  <si>
    <t>Song Zuer</t>
  </si>
  <si>
    <t>Ren Jialun</t>
  </si>
  <si>
    <t>Richard Li</t>
  </si>
  <si>
    <t>Cheng Yi</t>
  </si>
  <si>
    <t>Yumita</t>
  </si>
  <si>
    <t>Tia Xiwei</t>
  </si>
  <si>
    <t>Zhang Liehe</t>
  </si>
  <si>
    <t>Dilraba</t>
  </si>
  <si>
    <t>Hyuniamania</t>
  </si>
  <si>
    <t>Qiqi Wintiani</t>
  </si>
  <si>
    <t>Cash</t>
  </si>
  <si>
    <t>Kartu Kredit/Debit</t>
  </si>
  <si>
    <t>QRIS/E-Wallet</t>
  </si>
  <si>
    <t>Transfer Bank</t>
  </si>
  <si>
    <t>HARGA TOTAL</t>
  </si>
  <si>
    <t>TANGGAL PEMBELIAN</t>
  </si>
  <si>
    <t>SOAL/INTRUKSI!</t>
  </si>
  <si>
    <t>KATEGORI PRODUK</t>
  </si>
  <si>
    <r>
      <t xml:space="preserve">1) </t>
    </r>
    <r>
      <rPr>
        <b/>
        <sz val="11"/>
        <color theme="1"/>
        <rFont val="Calibri"/>
        <family val="2"/>
        <scheme val="minor"/>
      </rPr>
      <t>Nama Produk, Kategori Produk, Harga Produk mengacu</t>
    </r>
    <r>
      <rPr>
        <sz val="11"/>
        <color theme="1"/>
        <rFont val="Calibri"/>
        <family val="2"/>
        <scheme val="minor"/>
      </rPr>
      <t xml:space="preserve"> pada sheet "Data_Acuan"</t>
    </r>
  </si>
  <si>
    <t>Iphone 16 128GB</t>
  </si>
  <si>
    <r>
      <t xml:space="preserve">2) </t>
    </r>
    <r>
      <rPr>
        <b/>
        <sz val="11"/>
        <color theme="1"/>
        <rFont val="Calibri"/>
        <family val="2"/>
        <scheme val="minor"/>
      </rPr>
      <t>Harga Total = Jumlah Terjual*Harga Produk</t>
    </r>
  </si>
  <si>
    <r>
      <t xml:space="preserve">3) </t>
    </r>
    <r>
      <rPr>
        <b/>
        <sz val="11"/>
        <color theme="1"/>
        <rFont val="Calibri"/>
        <family val="2"/>
        <scheme val="minor"/>
      </rPr>
      <t>Diskon 8%</t>
    </r>
    <r>
      <rPr>
        <sz val="11"/>
        <color theme="1"/>
        <rFont val="Calibri"/>
        <family val="2"/>
        <scheme val="minor"/>
      </rPr>
      <t xml:space="preserve"> untuk setiap pembelian </t>
    </r>
    <r>
      <rPr>
        <b/>
        <sz val="11"/>
        <color theme="1"/>
        <rFont val="Calibri"/>
        <family val="2"/>
        <scheme val="minor"/>
      </rPr>
      <t>produk Acer Aspire 5 dan kategori Laptop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 xml:space="preserve">Diskon 6% </t>
    </r>
    <r>
      <rPr>
        <sz val="11"/>
        <color theme="1"/>
        <rFont val="Calibri"/>
        <family val="2"/>
        <scheme val="minor"/>
      </rPr>
      <t xml:space="preserve">untuk setiap pemeblian </t>
    </r>
    <r>
      <rPr>
        <b/>
        <sz val="11"/>
        <color theme="1"/>
        <rFont val="Calibri"/>
        <family val="2"/>
        <scheme val="minor"/>
      </rPr>
      <t>produk Iphone 16 128GB dan kategori Smartphone</t>
    </r>
    <r>
      <rPr>
        <sz val="11"/>
        <color theme="1"/>
        <rFont val="Calibri"/>
        <family val="2"/>
        <scheme val="minor"/>
      </rPr>
      <t>.</t>
    </r>
    <r>
      <rPr>
        <b/>
        <sz val="11"/>
        <color theme="1"/>
        <rFont val="Calibri"/>
        <family val="2"/>
        <scheme val="minor"/>
      </rPr>
      <t xml:space="preserve"> Diskon 3%</t>
    </r>
    <r>
      <rPr>
        <sz val="11"/>
        <color theme="1"/>
        <rFont val="Calibri"/>
        <family val="2"/>
        <scheme val="minor"/>
      </rPr>
      <t xml:space="preserve"> untuk setiap pembelian </t>
    </r>
    <r>
      <rPr>
        <b/>
        <sz val="11"/>
        <color theme="1"/>
        <rFont val="Calibri"/>
        <family val="2"/>
        <scheme val="minor"/>
      </rPr>
      <t>produk AirPods Gen-2 dan kategori Aksesoris</t>
    </r>
  </si>
  <si>
    <r>
      <t xml:space="preserve">4) Metode Pembayaran secara </t>
    </r>
    <r>
      <rPr>
        <b/>
        <sz val="11"/>
        <color theme="1"/>
        <rFont val="Calibri"/>
        <family val="2"/>
        <scheme val="minor"/>
      </rPr>
      <t>Kartu Kredit jika &gt;=20000000</t>
    </r>
    <r>
      <rPr>
        <sz val="11"/>
        <color theme="1"/>
        <rFont val="Calibri"/>
        <family val="2"/>
        <scheme val="minor"/>
      </rPr>
      <t xml:space="preserve">; secara </t>
    </r>
    <r>
      <rPr>
        <b/>
        <sz val="11"/>
        <color theme="1"/>
        <rFont val="Calibri"/>
        <family val="2"/>
        <scheme val="minor"/>
      </rPr>
      <t>Transfer Bank jika &gt;=10000000</t>
    </r>
    <r>
      <rPr>
        <sz val="11"/>
        <color theme="1"/>
        <rFont val="Calibri"/>
        <family val="2"/>
        <scheme val="minor"/>
      </rPr>
      <t xml:space="preserve">; secara </t>
    </r>
    <r>
      <rPr>
        <b/>
        <sz val="11"/>
        <color theme="1"/>
        <rFont val="Calibri"/>
        <family val="2"/>
        <scheme val="minor"/>
      </rPr>
      <t xml:space="preserve">QRIS/E-Wallet jika &gt;=5000000; </t>
    </r>
    <r>
      <rPr>
        <sz val="11"/>
        <color theme="1"/>
        <rFont val="Calibri"/>
        <family val="2"/>
        <scheme val="minor"/>
      </rPr>
      <t xml:space="preserve">dan secara </t>
    </r>
    <r>
      <rPr>
        <b/>
        <sz val="11"/>
        <color theme="1"/>
        <rFont val="Calibri"/>
        <family val="2"/>
        <scheme val="minor"/>
      </rPr>
      <t>Cash jika &lt;=5000000</t>
    </r>
  </si>
  <si>
    <r>
      <t xml:space="preserve">5) </t>
    </r>
    <r>
      <rPr>
        <b/>
        <sz val="11"/>
        <color theme="1"/>
        <rFont val="Calibri"/>
        <family val="2"/>
        <scheme val="minor"/>
      </rPr>
      <t xml:space="preserve">Biaya Admin </t>
    </r>
    <r>
      <rPr>
        <sz val="11"/>
        <color theme="1"/>
        <rFont val="Calibri"/>
        <family val="2"/>
        <scheme val="minor"/>
      </rPr>
      <t>mengacu pada sheet "Data_Acuan"</t>
    </r>
  </si>
  <si>
    <r>
      <t xml:space="preserve">6) </t>
    </r>
    <r>
      <rPr>
        <b/>
        <sz val="11"/>
        <color theme="1"/>
        <rFont val="Calibri"/>
        <family val="2"/>
        <scheme val="minor"/>
      </rPr>
      <t>Total Keseluruhan = Harga Total*(1-Diskon)+Biaya Admin</t>
    </r>
  </si>
  <si>
    <t>●●●</t>
  </si>
  <si>
    <t>Laptop = Flashdisk 16GB-32GB</t>
  </si>
  <si>
    <t>Smarthphone = Tempered Glass &amp; Kartu Perdana</t>
  </si>
  <si>
    <t>Aksesoris = Merchandise Brand</t>
  </si>
  <si>
    <r>
      <t xml:space="preserve">7) Setiap pembelian dari </t>
    </r>
    <r>
      <rPr>
        <b/>
        <sz val="11"/>
        <color theme="1"/>
        <rFont val="Calibri"/>
        <family val="2"/>
        <scheme val="minor"/>
      </rPr>
      <t>semua kategori produk dan lebih dari 3</t>
    </r>
    <r>
      <rPr>
        <sz val="11"/>
        <color theme="1"/>
        <rFont val="Calibri"/>
        <family val="2"/>
        <scheme val="minor"/>
      </rPr>
      <t>, maka:</t>
    </r>
  </si>
  <si>
    <r>
      <t xml:space="preserve">8) Pembayaran secara </t>
    </r>
    <r>
      <rPr>
        <b/>
        <sz val="11"/>
        <color theme="1"/>
        <rFont val="Calibri"/>
        <family val="2"/>
        <scheme val="minor"/>
      </rPr>
      <t>Transfer Bank atau QRIS/E-Wallet, Status Pembayaran Lunas</t>
    </r>
    <r>
      <rPr>
        <sz val="11"/>
        <color theme="1"/>
        <rFont val="Calibri"/>
        <family val="2"/>
        <scheme val="minor"/>
      </rPr>
      <t xml:space="preserve">. Jika </t>
    </r>
    <r>
      <rPr>
        <b/>
        <sz val="11"/>
        <color theme="1"/>
        <rFont val="Calibri"/>
        <family val="2"/>
        <scheme val="minor"/>
      </rPr>
      <t>Cash, maka Belum Bayar</t>
    </r>
  </si>
  <si>
    <t>STOK AWAL</t>
  </si>
  <si>
    <t>JUMLAH PRODUK TERJUAL</t>
  </si>
  <si>
    <t>STOK AKHIR</t>
  </si>
  <si>
    <t>JUMLAH</t>
  </si>
  <si>
    <t>STATUS</t>
  </si>
  <si>
    <r>
      <t xml:space="preserve">9) Hitung </t>
    </r>
    <r>
      <rPr>
        <b/>
        <sz val="11"/>
        <color theme="1"/>
        <rFont val="Calibri"/>
        <family val="2"/>
        <scheme val="minor"/>
      </rPr>
      <t xml:space="preserve">Jumlah Produk Terjual </t>
    </r>
    <r>
      <rPr>
        <sz val="11"/>
        <color theme="1"/>
        <rFont val="Calibri"/>
        <family val="2"/>
        <scheme val="minor"/>
      </rPr>
      <t>dari setiap produknya, kemudian</t>
    </r>
    <r>
      <rPr>
        <b/>
        <sz val="11"/>
        <color theme="1"/>
        <rFont val="Calibri"/>
        <family val="2"/>
        <scheme val="minor"/>
      </rPr>
      <t xml:space="preserve"> Conditional Formatting jumlahnya dengan Data Bars </t>
    </r>
    <r>
      <rPr>
        <sz val="11"/>
        <color theme="1"/>
        <rFont val="Calibri"/>
        <family val="2"/>
        <scheme val="minor"/>
      </rPr>
      <t>(bebas)</t>
    </r>
  </si>
  <si>
    <r>
      <t xml:space="preserve">10.A) </t>
    </r>
    <r>
      <rPr>
        <b/>
        <sz val="11"/>
        <color theme="1"/>
        <rFont val="Calibri"/>
        <family val="2"/>
        <scheme val="minor"/>
      </rPr>
      <t>Stok Akhir = Stok Awal - Jumlah Produk Terjual</t>
    </r>
  </si>
  <si>
    <r>
      <t xml:space="preserve">11) Rapihkan tabel dengan mengaktifkan </t>
    </r>
    <r>
      <rPr>
        <b/>
        <sz val="11"/>
        <color theme="1"/>
        <rFont val="Calibri"/>
        <family val="2"/>
        <scheme val="minor"/>
      </rPr>
      <t>fitur Tabel</t>
    </r>
  </si>
  <si>
    <r>
      <t xml:space="preserve">12) Aktifkan </t>
    </r>
    <r>
      <rPr>
        <b/>
        <sz val="11"/>
        <color theme="1"/>
        <rFont val="Calibri"/>
        <family val="2"/>
        <scheme val="minor"/>
      </rPr>
      <t>Freeze Panes</t>
    </r>
    <r>
      <rPr>
        <sz val="11"/>
        <color theme="1"/>
        <rFont val="Calibri"/>
        <family val="2"/>
        <scheme val="minor"/>
      </rPr>
      <t xml:space="preserve"> dari D11</t>
    </r>
  </si>
  <si>
    <r>
      <t xml:space="preserve">10.B) Jika </t>
    </r>
    <r>
      <rPr>
        <b/>
        <sz val="11"/>
        <color theme="1"/>
        <rFont val="Calibri"/>
        <family val="2"/>
        <scheme val="minor"/>
      </rPr>
      <t xml:space="preserve">jumlah 0 </t>
    </r>
    <r>
      <rPr>
        <sz val="11"/>
        <color theme="1"/>
        <rFont val="Calibri"/>
        <family val="2"/>
        <scheme val="minor"/>
      </rPr>
      <t>maka</t>
    </r>
    <r>
      <rPr>
        <b/>
        <sz val="11"/>
        <color theme="1"/>
        <rFont val="Calibri"/>
        <family val="2"/>
        <scheme val="minor"/>
      </rPr>
      <t xml:space="preserve"> Status Kosong</t>
    </r>
    <r>
      <rPr>
        <sz val="11"/>
        <color theme="1"/>
        <rFont val="Calibri"/>
        <family val="2"/>
        <scheme val="minor"/>
      </rPr>
      <t xml:space="preserve"> (Conditional Formatting: Merah), dan </t>
    </r>
    <r>
      <rPr>
        <b/>
        <sz val="11"/>
        <color theme="1"/>
        <rFont val="Calibri"/>
        <family val="2"/>
        <scheme val="minor"/>
      </rPr>
      <t>Tersedia (Hijau) jika stok akhir masih terdapat sisa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</si>
</sst>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2" fontId="0" fillId="0" borderId="1" xfId="1" applyFont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/>
    <xf numFmtId="42" fontId="0" fillId="0" borderId="0" xfId="1" applyFont="1" applyAlignment="1">
      <alignment vertical="center"/>
    </xf>
    <xf numFmtId="42" fontId="0" fillId="0" borderId="0" xfId="0" applyNumberFormat="1" applyAlignment="1">
      <alignment vertical="center"/>
    </xf>
    <xf numFmtId="0" fontId="0" fillId="0" borderId="0" xfId="1" applyNumberFormat="1" applyFont="1" applyAlignment="1">
      <alignment vertical="center"/>
    </xf>
    <xf numFmtId="9" fontId="0" fillId="0" borderId="0" xfId="2" applyFont="1" applyAlignment="1">
      <alignment horizontal="center" vertical="center"/>
    </xf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0" fillId="3" borderId="1" xfId="0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3" borderId="6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3" borderId="7" xfId="0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</cellXfs>
  <cellStyles count="3">
    <cellStyle name="Currency [0]" xfId="1" builtinId="7"/>
    <cellStyle name="Normal" xfId="0" builtinId="0"/>
    <cellStyle name="Percent" xfId="2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5426"/>
      </font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alignment horizontal="center" vertical="center" textRotation="0" wrapText="0" indent="0" justifyLastLine="0" shrinkToFit="0" readingOrder="0"/>
    </dxf>
    <dxf>
      <numFmt numFmtId="32" formatCode="_-&quot;Rp&quot;* #,##0_-;\-&quot;Rp&quot;* #,##0_-;_-&quot;Rp&quot;* &quot;-&quot;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9" formatCode="dd/mm/yyyy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54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12212A-7DAC-40C4-9115-C7E05BC9B754}" name="Table2" displayName="Table2" ref="A1:N31" totalsRowShown="0" headerRowCellStyle="Normal" dataCellStyle="Normal">
  <autoFilter ref="A1:N31" xr:uid="{AF12212A-7DAC-40C4-9115-C7E05BC9B754}"/>
  <tableColumns count="14">
    <tableColumn id="1" xr3:uid="{095FDECC-CA94-4C22-BCA4-7FBEB94D5135}" name="TANGGAL PEMBELIAN" dataCellStyle="Normal"/>
    <tableColumn id="2" xr3:uid="{8F3FA599-9966-4876-B19E-E0FE847B4461}" name="ID PRODUK" dataCellStyle="Normal"/>
    <tableColumn id="3" xr3:uid="{CFE32AA4-9134-4C20-AA91-2F2441D8822B}" name="NAMA PRODUK" dataCellStyle="Normal">
      <calculatedColumnFormula>_xlfn.XLOOKUP(Table2[[#This Row],[ID PRODUK]],Data_Acuan!$D$5:$D$10,Data_Acuan!$B$5:$B$10,0)</calculatedColumnFormula>
    </tableColumn>
    <tableColumn id="4" xr3:uid="{E708CA6B-D727-460B-848D-1B95E445843C}" name="KATEGORI PRODUK" dataCellStyle="Normal">
      <calculatedColumnFormula>VLOOKUP(Table2[[#This Row],[ID PRODUK]],Data_Acuan!$D$4:$F$10,2,0)</calculatedColumnFormula>
    </tableColumn>
    <tableColumn id="5" xr3:uid="{3FA7B8CB-3E5E-4C9A-9849-ADC612E526A9}" name="NAMA PEMBELI" dataCellStyle="Normal"/>
    <tableColumn id="6" xr3:uid="{D7D3A79A-B3A4-4703-A790-314E578750B0}" name="JUMLAH TERJUAL" dataCellStyle="Normal"/>
    <tableColumn id="7" xr3:uid="{F6E7B62A-20A4-4B1A-BB50-0617F425863B}" name="HARGA PRODUK" dataCellStyle="Normal">
      <calculatedColumnFormula>VLOOKUP(Table2[[#This Row],[ID PRODUK]],Data_Acuan!$D$4:$F$10,3,0)</calculatedColumnFormula>
    </tableColumn>
    <tableColumn id="8" xr3:uid="{30ED1C02-88C9-4170-B10E-0C45E9FCDC89}" name="HARGA TOTAL" dataCellStyle="Normal">
      <calculatedColumnFormula>Table2[[#This Row],[JUMLAH TERJUAL]]*Table2[[#This Row],[HARGA PRODUK]]</calculatedColumnFormula>
    </tableColumn>
    <tableColumn id="9" xr3:uid="{F51BFB65-60C1-4853-8FB0-69B4EFA7521E}" name="DISKON" dataCellStyle="Normal">
      <calculatedColumnFormula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calculatedColumnFormula>
    </tableColumn>
    <tableColumn id="10" xr3:uid="{196020A6-3BD2-4755-8D65-461BC504D422}" name="METODE PEMBAYARAN" dataCellStyle="Normal">
      <calculatedColumnFormula array="1">_xlfn.IFS(Table2[[#This Row],[HARGA TOTAL]]&gt;=20000000,"Kartu Kredit/Debit",Table2[[#This Row],[HARGA TOTAL]]&gt;=10000000,"Transfer Bank",Table2[[#This Row],[HARGA TOTAL]]&gt;=5000000,"QRIS/E-Wallet",Table2[[#This Row],[HARGA TOTAL]]&lt;=5000000,"Cash")</calculatedColumnFormula>
    </tableColumn>
    <tableColumn id="11" xr3:uid="{E80A77F8-5C0A-4322-9EBB-552FECC0F93D}" name="BIAYA ADMIN" dataCellStyle="Normal">
      <calculatedColumnFormula>HLOOKUP(Table2[[#This Row],[METODE PEMBAYARAN]],Data_Acuan!$A$14:$F$15,2,0)</calculatedColumnFormula>
    </tableColumn>
    <tableColumn id="12" xr3:uid="{17EE45A6-CE8B-45C3-8C8D-8FA099342455}" name="TOTAL KESELURUHAN" dataCellStyle="Normal">
      <calculatedColumnFormula>Table2[[#This Row],[HARGA TOTAL]]*(1-Table2[[#This Row],[DISKON]])+Table2[[#This Row],[BIAYA ADMIN]]</calculatedColumnFormula>
    </tableColumn>
    <tableColumn id="13" xr3:uid="{DA09C170-0698-4086-970E-39D3433CFCBA}" name="BONUS" dataCellStyle="Normal">
      <calculatedColumnFormula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calculatedColumnFormula>
    </tableColumn>
    <tableColumn id="14" xr3:uid="{BAAE1DE7-204B-4D1E-B393-EEBD4FA62967}" name="STATUS PEMBAYARAN" dataCellStyle="Normal">
      <calculatedColumnFormula>IF(OR(Table2[[#This Row],[METODE PEMBAYARAN]]="QRIS/E-Wallet",Table2[[#This Row],[METODE PEMBAYARAN]]="Transfer Bank"),"Lunas",IF(Table2[[#This Row],[METODE PEMBAYARAN]]="Cash","Belum Lunas","Proses"))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1" totalsRowShown="0" headerRowDxfId="20">
  <autoFilter ref="A1:N31" xr:uid="{00000000-0009-0000-0100-000001000000}"/>
  <tableColumns count="14">
    <tableColumn id="1" xr3:uid="{00000000-0010-0000-0000-000001000000}" name="TANGGAL PEMBELIAN" dataDxfId="19"/>
    <tableColumn id="2" xr3:uid="{00000000-0010-0000-0000-000002000000}" name="ID PRODUK" dataDxfId="18"/>
    <tableColumn id="3" xr3:uid="{00000000-0010-0000-0000-000003000000}" name="NAMA PRODUK" dataDxfId="17">
      <calculatedColumnFormula>INDEX(Data_Acuan!$A$5:$F$10,MATCH(Jawaban!B2,Data_Acuan!$D$5:$D$10,0),2)</calculatedColumnFormula>
    </tableColumn>
    <tableColumn id="4" xr3:uid="{00000000-0010-0000-0000-000004000000}" name="KATEGORI PRODUK" dataDxfId="16">
      <calculatedColumnFormula>INDEX(Data_Acuan!$A$5:$F$10,MATCH(Jawaban!B2,Data_Acuan!$D$5:$D$10,0),5)</calculatedColumnFormula>
    </tableColumn>
    <tableColumn id="5" xr3:uid="{00000000-0010-0000-0000-000005000000}" name="NAMA PEMBELI"/>
    <tableColumn id="6" xr3:uid="{00000000-0010-0000-0000-000006000000}" name="JUMLAH TERJUAL" dataDxfId="15"/>
    <tableColumn id="7" xr3:uid="{00000000-0010-0000-0000-000007000000}" name="HARGA PRODUK" dataDxfId="14">
      <calculatedColumnFormula>INDEX(Data_Acuan!$A$5:$F$10,MATCH(Jawaban!B2,Data_Acuan!$D$5:$D$10,0),6)</calculatedColumnFormula>
    </tableColumn>
    <tableColumn id="8" xr3:uid="{00000000-0010-0000-0000-000008000000}" name="HARGA TOTAL" dataDxfId="13">
      <calculatedColumnFormula>F2*G2</calculatedColumnFormula>
    </tableColumn>
    <tableColumn id="9" xr3:uid="{00000000-0010-0000-0000-000009000000}" name="DISKON" dataDxfId="12">
      <calculatedColumnFormula>IF(AND(D2="Laptop",C2="Acer Aspire 5"),8%,IF(AND(D2="Smartphone",C2="Iphone 16 128GB"),6%,IF(AND(D2="Aksesoris",C2="AirPods Gen-2"),3%,0%)))</calculatedColumnFormula>
    </tableColumn>
    <tableColumn id="10" xr3:uid="{00000000-0010-0000-0000-00000A000000}" name="METODE PEMBAYARAN" dataDxfId="11">
      <calculatedColumnFormula>IF(H2&gt;=20000000,"Kartu Kredit/Debit",IF(H2&gt;=10000000,"Transfer Bank",IF(H2&gt;=5000000,"QRIS/E-Wallet","Cash")))</calculatedColumnFormula>
    </tableColumn>
    <tableColumn id="11" xr3:uid="{00000000-0010-0000-0000-00000B000000}" name="BIAYA ADMIN" dataDxfId="10">
      <calculatedColumnFormula>HLOOKUP(J2,Data_Acuan!$C$14:$F$15,2,0)</calculatedColumnFormula>
    </tableColumn>
    <tableColumn id="12" xr3:uid="{00000000-0010-0000-0000-00000C000000}" name="TOTAL KESELURUHAN" dataDxfId="9">
      <calculatedColumnFormula>H2*(1-I2)+K2</calculatedColumnFormula>
    </tableColumn>
    <tableColumn id="13" xr3:uid="{00000000-0010-0000-0000-00000D000000}" name="BONUS" dataDxfId="8">
      <calculatedColumnFormula>IF(AND(D2="Laptop",F2&gt;=3),"Flashdisk 16GB-32GB",IF(AND(D2="Smartphone",F2&gt;=3),"Tempered Glass &amp; Kartu Perdana",IF(AND(D2="Aksesoris",F2&gt;=3),"Merchandise Brand","-")))</calculatedColumnFormula>
    </tableColumn>
    <tableColumn id="14" xr3:uid="{00000000-0010-0000-0000-00000E000000}" name="STATUS PEMBAYARAN" dataDxfId="7">
      <calculatedColumnFormula>IF(OR(J2="Transfer Bank",J2="QRIS/E-Wallet"),"Lunas","Belum Bayar")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zoomScale="80" zoomScaleNormal="80" workbookViewId="0">
      <selection activeCell="M20" sqref="M20"/>
    </sheetView>
  </sheetViews>
  <sheetFormatPr defaultRowHeight="14.4" x14ac:dyDescent="0.3"/>
  <cols>
    <col min="1" max="1" width="5.88671875" customWidth="1"/>
    <col min="2" max="2" width="17.44140625" bestFit="1" customWidth="1"/>
    <col min="3" max="3" width="16.6640625" bestFit="1" customWidth="1"/>
    <col min="4" max="4" width="19.109375" bestFit="1" customWidth="1"/>
    <col min="5" max="5" width="19.21875" bestFit="1" customWidth="1"/>
    <col min="6" max="6" width="18.77734375" customWidth="1"/>
  </cols>
  <sheetData>
    <row r="1" spans="1:9" ht="21" x14ac:dyDescent="0.4">
      <c r="A1" s="35" t="s">
        <v>11</v>
      </c>
      <c r="B1" s="35"/>
      <c r="C1" s="35"/>
      <c r="D1" s="35"/>
      <c r="E1" s="35"/>
      <c r="F1" s="35"/>
    </row>
    <row r="2" spans="1:9" ht="18" x14ac:dyDescent="0.35">
      <c r="A2" s="36" t="s">
        <v>12</v>
      </c>
      <c r="B2" s="36"/>
      <c r="C2" s="36"/>
      <c r="D2" s="36"/>
      <c r="E2" s="36"/>
      <c r="F2" s="36"/>
    </row>
    <row r="4" spans="1:9" x14ac:dyDescent="0.3">
      <c r="A4" s="8" t="s">
        <v>0</v>
      </c>
      <c r="B4" s="8" t="s">
        <v>2</v>
      </c>
      <c r="C4" s="8" t="s">
        <v>79</v>
      </c>
      <c r="D4" s="8" t="s">
        <v>1</v>
      </c>
      <c r="E4" s="8" t="s">
        <v>65</v>
      </c>
      <c r="F4" s="8" t="s">
        <v>5</v>
      </c>
    </row>
    <row r="5" spans="1:9" x14ac:dyDescent="0.3">
      <c r="A5" s="6">
        <v>1</v>
      </c>
      <c r="B5" s="5" t="s">
        <v>13</v>
      </c>
      <c r="C5" s="6">
        <v>15</v>
      </c>
      <c r="D5" s="5" t="s">
        <v>21</v>
      </c>
      <c r="E5" s="5" t="s">
        <v>18</v>
      </c>
      <c r="F5" s="7">
        <v>8500000</v>
      </c>
      <c r="H5" s="10"/>
    </row>
    <row r="6" spans="1:9" x14ac:dyDescent="0.3">
      <c r="A6" s="6">
        <v>2</v>
      </c>
      <c r="B6" s="5" t="s">
        <v>14</v>
      </c>
      <c r="C6" s="6">
        <v>20</v>
      </c>
      <c r="D6" s="5" t="s">
        <v>22</v>
      </c>
      <c r="E6" s="5" t="s">
        <v>18</v>
      </c>
      <c r="F6" s="7">
        <v>9000000</v>
      </c>
      <c r="H6" s="10"/>
    </row>
    <row r="7" spans="1:9" x14ac:dyDescent="0.3">
      <c r="A7" s="6">
        <v>3</v>
      </c>
      <c r="B7" s="5" t="s">
        <v>15</v>
      </c>
      <c r="C7" s="6">
        <v>11</v>
      </c>
      <c r="D7" s="5" t="s">
        <v>23</v>
      </c>
      <c r="E7" s="5" t="s">
        <v>19</v>
      </c>
      <c r="F7" s="7">
        <v>150000</v>
      </c>
      <c r="H7" s="10"/>
    </row>
    <row r="8" spans="1:9" x14ac:dyDescent="0.3">
      <c r="A8" s="6">
        <v>4</v>
      </c>
      <c r="B8" s="5" t="s">
        <v>17</v>
      </c>
      <c r="C8" s="6">
        <v>13</v>
      </c>
      <c r="D8" s="5" t="s">
        <v>24</v>
      </c>
      <c r="E8" s="5" t="s">
        <v>19</v>
      </c>
      <c r="F8" s="7">
        <v>1899000</v>
      </c>
      <c r="H8" s="10"/>
    </row>
    <row r="9" spans="1:9" x14ac:dyDescent="0.3">
      <c r="A9" s="6">
        <v>5</v>
      </c>
      <c r="B9" s="5" t="s">
        <v>16</v>
      </c>
      <c r="C9" s="6">
        <v>13</v>
      </c>
      <c r="D9" s="5" t="s">
        <v>25</v>
      </c>
      <c r="E9" s="5" t="s">
        <v>20</v>
      </c>
      <c r="F9" s="7">
        <v>2200000</v>
      </c>
      <c r="H9" s="10"/>
    </row>
    <row r="10" spans="1:9" x14ac:dyDescent="0.3">
      <c r="A10" s="6">
        <v>6</v>
      </c>
      <c r="B10" s="5" t="s">
        <v>67</v>
      </c>
      <c r="C10" s="6">
        <v>15</v>
      </c>
      <c r="D10" s="5" t="s">
        <v>26</v>
      </c>
      <c r="E10" s="5" t="s">
        <v>20</v>
      </c>
      <c r="F10" s="7">
        <v>14999000</v>
      </c>
      <c r="H10" s="10"/>
    </row>
    <row r="14" spans="1:9" x14ac:dyDescent="0.3">
      <c r="A14" s="37" t="s">
        <v>3</v>
      </c>
      <c r="B14" s="37"/>
      <c r="C14" s="6" t="s">
        <v>58</v>
      </c>
      <c r="D14" s="6" t="s">
        <v>59</v>
      </c>
      <c r="E14" s="6" t="s">
        <v>60</v>
      </c>
      <c r="F14" s="6" t="s">
        <v>61</v>
      </c>
      <c r="I14" s="4"/>
    </row>
    <row r="15" spans="1:9" x14ac:dyDescent="0.3">
      <c r="A15" s="37" t="s">
        <v>7</v>
      </c>
      <c r="B15" s="37"/>
      <c r="C15" s="7">
        <v>0</v>
      </c>
      <c r="D15" s="7">
        <v>5000</v>
      </c>
      <c r="E15" s="7">
        <v>2500</v>
      </c>
      <c r="F15" s="7">
        <v>6500</v>
      </c>
    </row>
  </sheetData>
  <mergeCells count="4">
    <mergeCell ref="A1:F1"/>
    <mergeCell ref="A2:F2"/>
    <mergeCell ref="A14:B14"/>
    <mergeCell ref="A15:B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8"/>
  <sheetViews>
    <sheetView tabSelected="1" topLeftCell="A13" zoomScale="80" zoomScaleNormal="80" workbookViewId="0">
      <selection activeCell="G54" sqref="G54"/>
    </sheetView>
  </sheetViews>
  <sheetFormatPr defaultRowHeight="14.4" x14ac:dyDescent="0.3"/>
  <cols>
    <col min="1" max="1" width="25.77734375" customWidth="1"/>
    <col min="2" max="2" width="21.77734375" customWidth="1"/>
    <col min="3" max="3" width="22.21875" customWidth="1"/>
    <col min="4" max="4" width="19.21875" customWidth="1"/>
    <col min="5" max="5" width="19.33203125" bestFit="1" customWidth="1"/>
    <col min="6" max="6" width="17.33203125" customWidth="1"/>
    <col min="7" max="7" width="16.6640625" customWidth="1"/>
    <col min="8" max="8" width="18.109375" bestFit="1" customWidth="1"/>
    <col min="9" max="9" width="9.5546875" customWidth="1"/>
    <col min="10" max="10" width="22.77734375" bestFit="1" customWidth="1"/>
    <col min="11" max="11" width="14.5546875" customWidth="1"/>
    <col min="12" max="12" width="21.21875" bestFit="1" customWidth="1"/>
    <col min="13" max="13" width="28.88671875" bestFit="1" customWidth="1"/>
    <col min="14" max="14" width="21.77734375" customWidth="1"/>
  </cols>
  <sheetData>
    <row r="1" spans="1:14" x14ac:dyDescent="0.3">
      <c r="A1" t="s">
        <v>63</v>
      </c>
      <c r="B1" t="s">
        <v>1</v>
      </c>
      <c r="C1" t="s">
        <v>2</v>
      </c>
      <c r="D1" t="s">
        <v>65</v>
      </c>
      <c r="E1" t="s">
        <v>27</v>
      </c>
      <c r="F1" t="s">
        <v>4</v>
      </c>
      <c r="G1" t="s">
        <v>5</v>
      </c>
      <c r="H1" t="s">
        <v>62</v>
      </c>
      <c r="I1" t="s">
        <v>6</v>
      </c>
      <c r="J1" t="s">
        <v>3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">
      <c r="A2">
        <v>45748</v>
      </c>
      <c r="B2" t="s">
        <v>21</v>
      </c>
      <c r="C2" t="str">
        <f>_xlfn.XLOOKUP(Table2[[#This Row],[ID PRODUK]],Data_Acuan!$D$5:$D$10,Data_Acuan!$B$5:$B$10,0)</f>
        <v>Lenovo Idepad</v>
      </c>
      <c r="D2" t="str">
        <f>VLOOKUP(Table2[[#This Row],[ID PRODUK]],Data_Acuan!$D$4:$F$10,2,0)</f>
        <v>Laptop</v>
      </c>
      <c r="E2" t="s">
        <v>28</v>
      </c>
      <c r="F2">
        <v>1</v>
      </c>
      <c r="G2">
        <f>VLOOKUP(Table2[[#This Row],[ID PRODUK]],Data_Acuan!$D$4:$F$10,3,0)</f>
        <v>8500000</v>
      </c>
      <c r="H2">
        <f>Table2[[#This Row],[JUMLAH TERJUAL]]*Table2[[#This Row],[HARGA PRODUK]]</f>
        <v>8500000</v>
      </c>
      <c r="I2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2" t="str" cm="1">
        <f t="array" ref="J2">_xlfn.IFS(Table2[[#This Row],[HARGA TOTAL]]&gt;=20000000,"Kartu Kredit/Debit",Table2[[#This Row],[HARGA TOTAL]]&gt;=10000000,"Transfer Bank",Table2[[#This Row],[HARGA TOTAL]]&gt;=5000000,"QRIS/E-Wallet",Table2[[#This Row],[HARGA TOTAL]]&lt;=5000000,"Cash")</f>
        <v>QRIS/E-Wallet</v>
      </c>
      <c r="K2">
        <f>HLOOKUP(Table2[[#This Row],[METODE PEMBAYARAN]],Data_Acuan!$A$14:$F$15,2,0)</f>
        <v>2500</v>
      </c>
      <c r="L2">
        <f>Table2[[#This Row],[HARGA TOTAL]]*(1-Table2[[#This Row],[DISKON]])+Table2[[#This Row],[BIAYA ADMIN]]</f>
        <v>8502500</v>
      </c>
      <c r="M2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2" t="str">
        <f>IF(OR(Table2[[#This Row],[METODE PEMBAYARAN]]="QRIS/E-Wallet",Table2[[#This Row],[METODE PEMBAYARAN]]="Transfer Bank"),"Lunas",IF(Table2[[#This Row],[METODE PEMBAYARAN]]="Cash","Belum Lunas","Proses"))</f>
        <v>Lunas</v>
      </c>
    </row>
    <row r="3" spans="1:14" x14ac:dyDescent="0.3">
      <c r="A3">
        <v>45749</v>
      </c>
      <c r="B3" t="s">
        <v>22</v>
      </c>
      <c r="C3" t="str">
        <f>_xlfn.XLOOKUP(Table2[[#This Row],[ID PRODUK]],Data_Acuan!$D$5:$D$10,Data_Acuan!$B$5:$B$10,0)</f>
        <v>Acer Aspire 5</v>
      </c>
      <c r="D3" t="str">
        <f>VLOOKUP(Table2[[#This Row],[ID PRODUK]],Data_Acuan!$D$4:$F$10,2,0)</f>
        <v>Laptop</v>
      </c>
      <c r="E3" t="s">
        <v>29</v>
      </c>
      <c r="F3">
        <v>2</v>
      </c>
      <c r="G3">
        <f>VLOOKUP(Table2[[#This Row],[ID PRODUK]],Data_Acuan!$D$4:$F$10,3,0)</f>
        <v>9000000</v>
      </c>
      <c r="H3">
        <f>Table2[[#This Row],[JUMLAH TERJUAL]]*Table2[[#This Row],[HARGA PRODUK]]</f>
        <v>18000000</v>
      </c>
      <c r="I3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0.08</v>
      </c>
      <c r="J3" t="str" cm="1">
        <f t="array" ref="J3">_xlfn.IFS(Table2[[#This Row],[HARGA TOTAL]]&gt;=20000000,"Kartu Kredit/Debit",Table2[[#This Row],[HARGA TOTAL]]&gt;=10000000,"Transfer Bank",Table2[[#This Row],[HARGA TOTAL]]&gt;=5000000,"QRIS/E-Wallet",Table2[[#This Row],[HARGA TOTAL]]&lt;=5000000,"Cash")</f>
        <v>Transfer Bank</v>
      </c>
      <c r="K3">
        <f>HLOOKUP(Table2[[#This Row],[METODE PEMBAYARAN]],Data_Acuan!$A$14:$F$15,2,0)</f>
        <v>6500</v>
      </c>
      <c r="L3">
        <f>Table2[[#This Row],[HARGA TOTAL]]*(1-Table2[[#This Row],[DISKON]])+Table2[[#This Row],[BIAYA ADMIN]]</f>
        <v>16566500</v>
      </c>
      <c r="M3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3" t="str">
        <f>IF(OR(Table2[[#This Row],[METODE PEMBAYARAN]]="QRIS/E-Wallet",Table2[[#This Row],[METODE PEMBAYARAN]]="Transfer Bank"),"Lunas",IF(Table2[[#This Row],[METODE PEMBAYARAN]]="Cash","Belum Lunas","Proses"))</f>
        <v>Lunas</v>
      </c>
    </row>
    <row r="4" spans="1:14" x14ac:dyDescent="0.3">
      <c r="A4">
        <v>45750</v>
      </c>
      <c r="B4" t="s">
        <v>23</v>
      </c>
      <c r="C4" t="str">
        <f>_xlfn.XLOOKUP(Table2[[#This Row],[ID PRODUK]],Data_Acuan!$D$5:$D$10,Data_Acuan!$B$5:$B$10,0)</f>
        <v>Logitech Mouse</v>
      </c>
      <c r="D4" t="str">
        <f>VLOOKUP(Table2[[#This Row],[ID PRODUK]],Data_Acuan!$D$4:$F$10,2,0)</f>
        <v>Aksesoris</v>
      </c>
      <c r="E4" t="s">
        <v>30</v>
      </c>
      <c r="F4">
        <v>3</v>
      </c>
      <c r="G4">
        <f>VLOOKUP(Table2[[#This Row],[ID PRODUK]],Data_Acuan!$D$4:$F$10,3,0)</f>
        <v>150000</v>
      </c>
      <c r="H4">
        <f>Table2[[#This Row],[JUMLAH TERJUAL]]*Table2[[#This Row],[HARGA PRODUK]]</f>
        <v>450000</v>
      </c>
      <c r="I4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4" t="str" cm="1">
        <f t="array" ref="J4">_xlfn.IFS(Table2[[#This Row],[HARGA TOTAL]]&gt;=20000000,"Kartu Kredit/Debit",Table2[[#This Row],[HARGA TOTAL]]&gt;=10000000,"Transfer Bank",Table2[[#This Row],[HARGA TOTAL]]&gt;=5000000,"QRIS/E-Wallet",Table2[[#This Row],[HARGA TOTAL]]&lt;=5000000,"Cash")</f>
        <v>Cash</v>
      </c>
      <c r="K4">
        <f>HLOOKUP(Table2[[#This Row],[METODE PEMBAYARAN]],Data_Acuan!$A$14:$F$15,2,0)</f>
        <v>0</v>
      </c>
      <c r="L4">
        <f>Table2[[#This Row],[HARGA TOTAL]]*(1-Table2[[#This Row],[DISKON]])+Table2[[#This Row],[BIAYA ADMIN]]</f>
        <v>450000</v>
      </c>
      <c r="M4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Merchandise Brand</v>
      </c>
      <c r="N4" t="str">
        <f>IF(OR(Table2[[#This Row],[METODE PEMBAYARAN]]="QRIS/E-Wallet",Table2[[#This Row],[METODE PEMBAYARAN]]="Transfer Bank"),"Lunas",IF(Table2[[#This Row],[METODE PEMBAYARAN]]="Cash","Belum Lunas","Proses"))</f>
        <v>Belum Lunas</v>
      </c>
    </row>
    <row r="5" spans="1:14" x14ac:dyDescent="0.3">
      <c r="A5">
        <v>45755</v>
      </c>
      <c r="B5" t="s">
        <v>24</v>
      </c>
      <c r="C5" t="str">
        <f>_xlfn.XLOOKUP(Table2[[#This Row],[ID PRODUK]],Data_Acuan!$D$5:$D$10,Data_Acuan!$B$5:$B$10,0)</f>
        <v>AirPods Gen-2</v>
      </c>
      <c r="D5" t="str">
        <f>VLOOKUP(Table2[[#This Row],[ID PRODUK]],Data_Acuan!$D$4:$F$10,2,0)</f>
        <v>Aksesoris</v>
      </c>
      <c r="E5" t="s">
        <v>31</v>
      </c>
      <c r="F5">
        <v>4</v>
      </c>
      <c r="G5">
        <f>VLOOKUP(Table2[[#This Row],[ID PRODUK]],Data_Acuan!$D$4:$F$10,3,0)</f>
        <v>1899000</v>
      </c>
      <c r="H5">
        <f>Table2[[#This Row],[JUMLAH TERJUAL]]*Table2[[#This Row],[HARGA PRODUK]]</f>
        <v>7596000</v>
      </c>
      <c r="I5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0.02</v>
      </c>
      <c r="J5" t="str" cm="1">
        <f t="array" ref="J5">_xlfn.IFS(Table2[[#This Row],[HARGA TOTAL]]&gt;=20000000,"Kartu Kredit/Debit",Table2[[#This Row],[HARGA TOTAL]]&gt;=10000000,"Transfer Bank",Table2[[#This Row],[HARGA TOTAL]]&gt;=5000000,"QRIS/E-Wallet",Table2[[#This Row],[HARGA TOTAL]]&lt;=5000000,"Cash")</f>
        <v>QRIS/E-Wallet</v>
      </c>
      <c r="K5">
        <f>HLOOKUP(Table2[[#This Row],[METODE PEMBAYARAN]],Data_Acuan!$A$14:$F$15,2,0)</f>
        <v>2500</v>
      </c>
      <c r="L5">
        <f>Table2[[#This Row],[HARGA TOTAL]]*(1-Table2[[#This Row],[DISKON]])+Table2[[#This Row],[BIAYA ADMIN]]</f>
        <v>7446580</v>
      </c>
      <c r="M5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Merchandise Brand</v>
      </c>
      <c r="N5" t="str">
        <f>IF(OR(Table2[[#This Row],[METODE PEMBAYARAN]]="QRIS/E-Wallet",Table2[[#This Row],[METODE PEMBAYARAN]]="Transfer Bank"),"Lunas",IF(Table2[[#This Row],[METODE PEMBAYARAN]]="Cash","Belum Lunas","Proses"))</f>
        <v>Lunas</v>
      </c>
    </row>
    <row r="6" spans="1:14" x14ac:dyDescent="0.3">
      <c r="A6">
        <v>45755</v>
      </c>
      <c r="B6" t="s">
        <v>25</v>
      </c>
      <c r="C6" t="str">
        <f>_xlfn.XLOOKUP(Table2[[#This Row],[ID PRODUK]],Data_Acuan!$D$5:$D$10,Data_Acuan!$B$5:$B$10,0)</f>
        <v>Samsung A15</v>
      </c>
      <c r="D6" t="str">
        <f>VLOOKUP(Table2[[#This Row],[ID PRODUK]],Data_Acuan!$D$4:$F$10,2,0)</f>
        <v>Smartphone</v>
      </c>
      <c r="E6" t="s">
        <v>32</v>
      </c>
      <c r="F6">
        <v>5</v>
      </c>
      <c r="G6">
        <f>VLOOKUP(Table2[[#This Row],[ID PRODUK]],Data_Acuan!$D$4:$F$10,3,0)</f>
        <v>2200000</v>
      </c>
      <c r="H6">
        <f>Table2[[#This Row],[JUMLAH TERJUAL]]*Table2[[#This Row],[HARGA PRODUK]]</f>
        <v>11000000</v>
      </c>
      <c r="I6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6" t="str" cm="1">
        <f t="array" ref="J6">_xlfn.IFS(Table2[[#This Row],[HARGA TOTAL]]&gt;=20000000,"Kartu Kredit/Debit",Table2[[#This Row],[HARGA TOTAL]]&gt;=10000000,"Transfer Bank",Table2[[#This Row],[HARGA TOTAL]]&gt;=5000000,"QRIS/E-Wallet",Table2[[#This Row],[HARGA TOTAL]]&lt;=5000000,"Cash")</f>
        <v>Transfer Bank</v>
      </c>
      <c r="K6">
        <f>HLOOKUP(Table2[[#This Row],[METODE PEMBAYARAN]],Data_Acuan!$A$14:$F$15,2,0)</f>
        <v>6500</v>
      </c>
      <c r="L6">
        <f>Table2[[#This Row],[HARGA TOTAL]]*(1-Table2[[#This Row],[DISKON]])+Table2[[#This Row],[BIAYA ADMIN]]</f>
        <v>11006500</v>
      </c>
      <c r="M6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Tempered Glass&amp;Kartu Perdana</v>
      </c>
      <c r="N6" t="str">
        <f>IF(OR(Table2[[#This Row],[METODE PEMBAYARAN]]="QRIS/E-Wallet",Table2[[#This Row],[METODE PEMBAYARAN]]="Transfer Bank"),"Lunas",IF(Table2[[#This Row],[METODE PEMBAYARAN]]="Cash","Belum Lunas","Proses"))</f>
        <v>Lunas</v>
      </c>
    </row>
    <row r="7" spans="1:14" x14ac:dyDescent="0.3">
      <c r="A7">
        <v>45755</v>
      </c>
      <c r="B7" t="s">
        <v>26</v>
      </c>
      <c r="C7" t="str">
        <f>_xlfn.XLOOKUP(Table2[[#This Row],[ID PRODUK]],Data_Acuan!$D$5:$D$10,Data_Acuan!$B$5:$B$10,0)</f>
        <v>Iphone 16 128GB</v>
      </c>
      <c r="D7" t="str">
        <f>VLOOKUP(Table2[[#This Row],[ID PRODUK]],Data_Acuan!$D$4:$F$10,2,0)</f>
        <v>Smartphone</v>
      </c>
      <c r="E7" t="s">
        <v>33</v>
      </c>
      <c r="F7">
        <v>6</v>
      </c>
      <c r="G7">
        <f>VLOOKUP(Table2[[#This Row],[ID PRODUK]],Data_Acuan!$D$4:$F$10,3,0)</f>
        <v>14999000</v>
      </c>
      <c r="H7">
        <f>Table2[[#This Row],[JUMLAH TERJUAL]]*Table2[[#This Row],[HARGA PRODUK]]</f>
        <v>89994000</v>
      </c>
      <c r="I7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0.06</v>
      </c>
      <c r="J7" t="str" cm="1">
        <f t="array" ref="J7">_xlfn.IFS(Table2[[#This Row],[HARGA TOTAL]]&gt;=20000000,"Kartu Kredit/Debit",Table2[[#This Row],[HARGA TOTAL]]&gt;=10000000,"Transfer Bank",Table2[[#This Row],[HARGA TOTAL]]&gt;=5000000,"QRIS/E-Wallet",Table2[[#This Row],[HARGA TOTAL]]&lt;=5000000,"Cash")</f>
        <v>Kartu Kredit/Debit</v>
      </c>
      <c r="K7">
        <f>HLOOKUP(Table2[[#This Row],[METODE PEMBAYARAN]],Data_Acuan!$A$14:$F$15,2,0)</f>
        <v>5000</v>
      </c>
      <c r="L7">
        <f>Table2[[#This Row],[HARGA TOTAL]]*(1-Table2[[#This Row],[DISKON]])+Table2[[#This Row],[BIAYA ADMIN]]</f>
        <v>84599360</v>
      </c>
      <c r="M7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Tempered Glass&amp;Kartu Perdana</v>
      </c>
      <c r="N7" t="str">
        <f>IF(OR(Table2[[#This Row],[METODE PEMBAYARAN]]="QRIS/E-Wallet",Table2[[#This Row],[METODE PEMBAYARAN]]="Transfer Bank"),"Lunas",IF(Table2[[#This Row],[METODE PEMBAYARAN]]="Cash","Belum Lunas","Proses"))</f>
        <v>Proses</v>
      </c>
    </row>
    <row r="8" spans="1:14" x14ac:dyDescent="0.3">
      <c r="A8">
        <v>45758</v>
      </c>
      <c r="B8" t="s">
        <v>26</v>
      </c>
      <c r="C8" t="str">
        <f>_xlfn.XLOOKUP(Table2[[#This Row],[ID PRODUK]],Data_Acuan!$D$5:$D$10,Data_Acuan!$B$5:$B$10,0)</f>
        <v>Iphone 16 128GB</v>
      </c>
      <c r="D8" t="str">
        <f>VLOOKUP(Table2[[#This Row],[ID PRODUK]],Data_Acuan!$D$4:$F$10,2,0)</f>
        <v>Smartphone</v>
      </c>
      <c r="E8" t="s">
        <v>34</v>
      </c>
      <c r="F8">
        <v>5</v>
      </c>
      <c r="G8">
        <f>VLOOKUP(Table2[[#This Row],[ID PRODUK]],Data_Acuan!$D$4:$F$10,3,0)</f>
        <v>14999000</v>
      </c>
      <c r="H8">
        <f>Table2[[#This Row],[JUMLAH TERJUAL]]*Table2[[#This Row],[HARGA PRODUK]]</f>
        <v>74995000</v>
      </c>
      <c r="I8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0.06</v>
      </c>
      <c r="J8" t="str" cm="1">
        <f t="array" ref="J8">_xlfn.IFS(Table2[[#This Row],[HARGA TOTAL]]&gt;=20000000,"Kartu Kredit/Debit",Table2[[#This Row],[HARGA TOTAL]]&gt;=10000000,"Transfer Bank",Table2[[#This Row],[HARGA TOTAL]]&gt;=5000000,"QRIS/E-Wallet",Table2[[#This Row],[HARGA TOTAL]]&lt;=5000000,"Cash")</f>
        <v>Kartu Kredit/Debit</v>
      </c>
      <c r="K8">
        <f>HLOOKUP(Table2[[#This Row],[METODE PEMBAYARAN]],Data_Acuan!$A$14:$F$15,2,0)</f>
        <v>5000</v>
      </c>
      <c r="L8">
        <f>Table2[[#This Row],[HARGA TOTAL]]*(1-Table2[[#This Row],[DISKON]])+Table2[[#This Row],[BIAYA ADMIN]]</f>
        <v>70500300</v>
      </c>
      <c r="M8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Tempered Glass&amp;Kartu Perdana</v>
      </c>
      <c r="N8" t="str">
        <f>IF(OR(Table2[[#This Row],[METODE PEMBAYARAN]]="QRIS/E-Wallet",Table2[[#This Row],[METODE PEMBAYARAN]]="Transfer Bank"),"Lunas",IF(Table2[[#This Row],[METODE PEMBAYARAN]]="Cash","Belum Lunas","Proses"))</f>
        <v>Proses</v>
      </c>
    </row>
    <row r="9" spans="1:14" x14ac:dyDescent="0.3">
      <c r="A9">
        <v>45759</v>
      </c>
      <c r="B9" t="s">
        <v>22</v>
      </c>
      <c r="C9" t="str">
        <f>_xlfn.XLOOKUP(Table2[[#This Row],[ID PRODUK]],Data_Acuan!$D$5:$D$10,Data_Acuan!$B$5:$B$10,0)</f>
        <v>Acer Aspire 5</v>
      </c>
      <c r="D9" t="str">
        <f>VLOOKUP(Table2[[#This Row],[ID PRODUK]],Data_Acuan!$D$4:$F$10,2,0)</f>
        <v>Laptop</v>
      </c>
      <c r="E9" t="s">
        <v>35</v>
      </c>
      <c r="F9">
        <v>3</v>
      </c>
      <c r="G9">
        <f>VLOOKUP(Table2[[#This Row],[ID PRODUK]],Data_Acuan!$D$4:$F$10,3,0)</f>
        <v>9000000</v>
      </c>
      <c r="H9">
        <f>Table2[[#This Row],[JUMLAH TERJUAL]]*Table2[[#This Row],[HARGA PRODUK]]</f>
        <v>27000000</v>
      </c>
      <c r="I9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0.08</v>
      </c>
      <c r="J9" t="str" cm="1">
        <f t="array" ref="J9">_xlfn.IFS(Table2[[#This Row],[HARGA TOTAL]]&gt;=20000000,"Kartu Kredit/Debit",Table2[[#This Row],[HARGA TOTAL]]&gt;=10000000,"Transfer Bank",Table2[[#This Row],[HARGA TOTAL]]&gt;=5000000,"QRIS/E-Wallet",Table2[[#This Row],[HARGA TOTAL]]&lt;=5000000,"Cash")</f>
        <v>Kartu Kredit/Debit</v>
      </c>
      <c r="K9">
        <f>HLOOKUP(Table2[[#This Row],[METODE PEMBAYARAN]],Data_Acuan!$A$14:$F$15,2,0)</f>
        <v>5000</v>
      </c>
      <c r="L9">
        <f>Table2[[#This Row],[HARGA TOTAL]]*(1-Table2[[#This Row],[DISKON]])+Table2[[#This Row],[BIAYA ADMIN]]</f>
        <v>24845000</v>
      </c>
      <c r="M9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Flashdisk 16-32GB</v>
      </c>
      <c r="N9" t="str">
        <f>IF(OR(Table2[[#This Row],[METODE PEMBAYARAN]]="QRIS/E-Wallet",Table2[[#This Row],[METODE PEMBAYARAN]]="Transfer Bank"),"Lunas",IF(Table2[[#This Row],[METODE PEMBAYARAN]]="Cash","Belum Lunas","Proses"))</f>
        <v>Proses</v>
      </c>
    </row>
    <row r="10" spans="1:14" x14ac:dyDescent="0.3">
      <c r="A10">
        <v>45760</v>
      </c>
      <c r="B10" t="s">
        <v>23</v>
      </c>
      <c r="C10" t="str">
        <f>_xlfn.XLOOKUP(Table2[[#This Row],[ID PRODUK]],Data_Acuan!$D$5:$D$10,Data_Acuan!$B$5:$B$10,0)</f>
        <v>Logitech Mouse</v>
      </c>
      <c r="D10" t="str">
        <f>VLOOKUP(Table2[[#This Row],[ID PRODUK]],Data_Acuan!$D$4:$F$10,2,0)</f>
        <v>Aksesoris</v>
      </c>
      <c r="E10" t="s">
        <v>36</v>
      </c>
      <c r="F10">
        <v>2</v>
      </c>
      <c r="G10">
        <f>VLOOKUP(Table2[[#This Row],[ID PRODUK]],Data_Acuan!$D$4:$F$10,3,0)</f>
        <v>150000</v>
      </c>
      <c r="H10">
        <f>Table2[[#This Row],[JUMLAH TERJUAL]]*Table2[[#This Row],[HARGA PRODUK]]</f>
        <v>300000</v>
      </c>
      <c r="I10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10" t="str" cm="1">
        <f t="array" ref="J10">_xlfn.IFS(Table2[[#This Row],[HARGA TOTAL]]&gt;=20000000,"Kartu Kredit/Debit",Table2[[#This Row],[HARGA TOTAL]]&gt;=10000000,"Transfer Bank",Table2[[#This Row],[HARGA TOTAL]]&gt;=5000000,"QRIS/E-Wallet",Table2[[#This Row],[HARGA TOTAL]]&lt;=5000000,"Cash")</f>
        <v>Cash</v>
      </c>
      <c r="K10">
        <f>HLOOKUP(Table2[[#This Row],[METODE PEMBAYARAN]],Data_Acuan!$A$14:$F$15,2,0)</f>
        <v>0</v>
      </c>
      <c r="L10">
        <f>Table2[[#This Row],[HARGA TOTAL]]*(1-Table2[[#This Row],[DISKON]])+Table2[[#This Row],[BIAYA ADMIN]]</f>
        <v>300000</v>
      </c>
      <c r="M10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10" t="str">
        <f>IF(OR(Table2[[#This Row],[METODE PEMBAYARAN]]="QRIS/E-Wallet",Table2[[#This Row],[METODE PEMBAYARAN]]="Transfer Bank"),"Lunas",IF(Table2[[#This Row],[METODE PEMBAYARAN]]="Cash","Belum Lunas","Proses"))</f>
        <v>Belum Lunas</v>
      </c>
    </row>
    <row r="11" spans="1:14" x14ac:dyDescent="0.3">
      <c r="A11">
        <v>45763</v>
      </c>
      <c r="B11" t="s">
        <v>24</v>
      </c>
      <c r="C11" t="str">
        <f>_xlfn.XLOOKUP(Table2[[#This Row],[ID PRODUK]],Data_Acuan!$D$5:$D$10,Data_Acuan!$B$5:$B$10,0)</f>
        <v>AirPods Gen-2</v>
      </c>
      <c r="D11" t="str">
        <f>VLOOKUP(Table2[[#This Row],[ID PRODUK]],Data_Acuan!$D$4:$F$10,2,0)</f>
        <v>Aksesoris</v>
      </c>
      <c r="E11" t="s">
        <v>37</v>
      </c>
      <c r="F11">
        <v>2</v>
      </c>
      <c r="G11">
        <f>VLOOKUP(Table2[[#This Row],[ID PRODUK]],Data_Acuan!$D$4:$F$10,3,0)</f>
        <v>1899000</v>
      </c>
      <c r="H11">
        <f>Table2[[#This Row],[JUMLAH TERJUAL]]*Table2[[#This Row],[HARGA PRODUK]]</f>
        <v>3798000</v>
      </c>
      <c r="I11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0.02</v>
      </c>
      <c r="J11" t="str" cm="1">
        <f t="array" ref="J11">_xlfn.IFS(Table2[[#This Row],[HARGA TOTAL]]&gt;=20000000,"Kartu Kredit/Debit",Table2[[#This Row],[HARGA TOTAL]]&gt;=10000000,"Transfer Bank",Table2[[#This Row],[HARGA TOTAL]]&gt;=5000000,"QRIS/E-Wallet",Table2[[#This Row],[HARGA TOTAL]]&lt;=5000000,"Cash")</f>
        <v>Cash</v>
      </c>
      <c r="K11">
        <f>HLOOKUP(Table2[[#This Row],[METODE PEMBAYARAN]],Data_Acuan!$A$14:$F$15,2,0)</f>
        <v>0</v>
      </c>
      <c r="L11">
        <f>Table2[[#This Row],[HARGA TOTAL]]*(1-Table2[[#This Row],[DISKON]])+Table2[[#This Row],[BIAYA ADMIN]]</f>
        <v>3722040</v>
      </c>
      <c r="M11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11" t="str">
        <f>IF(OR(Table2[[#This Row],[METODE PEMBAYARAN]]="QRIS/E-Wallet",Table2[[#This Row],[METODE PEMBAYARAN]]="Transfer Bank"),"Lunas",IF(Table2[[#This Row],[METODE PEMBAYARAN]]="Cash","Belum Lunas","Proses"))</f>
        <v>Belum Lunas</v>
      </c>
    </row>
    <row r="12" spans="1:14" x14ac:dyDescent="0.3">
      <c r="A12">
        <v>45763</v>
      </c>
      <c r="B12" t="s">
        <v>26</v>
      </c>
      <c r="C12" t="str">
        <f>_xlfn.XLOOKUP(Table2[[#This Row],[ID PRODUK]],Data_Acuan!$D$5:$D$10,Data_Acuan!$B$5:$B$10,0)</f>
        <v>Iphone 16 128GB</v>
      </c>
      <c r="D12" t="str">
        <f>VLOOKUP(Table2[[#This Row],[ID PRODUK]],Data_Acuan!$D$4:$F$10,2,0)</f>
        <v>Smartphone</v>
      </c>
      <c r="E12" t="s">
        <v>38</v>
      </c>
      <c r="F12">
        <v>1</v>
      </c>
      <c r="G12">
        <f>VLOOKUP(Table2[[#This Row],[ID PRODUK]],Data_Acuan!$D$4:$F$10,3,0)</f>
        <v>14999000</v>
      </c>
      <c r="H12">
        <f>Table2[[#This Row],[JUMLAH TERJUAL]]*Table2[[#This Row],[HARGA PRODUK]]</f>
        <v>14999000</v>
      </c>
      <c r="I12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0.06</v>
      </c>
      <c r="J12" t="str" cm="1">
        <f t="array" ref="J12">_xlfn.IFS(Table2[[#This Row],[HARGA TOTAL]]&gt;=20000000,"Kartu Kredit/Debit",Table2[[#This Row],[HARGA TOTAL]]&gt;=10000000,"Transfer Bank",Table2[[#This Row],[HARGA TOTAL]]&gt;=5000000,"QRIS/E-Wallet",Table2[[#This Row],[HARGA TOTAL]]&lt;=5000000,"Cash")</f>
        <v>Transfer Bank</v>
      </c>
      <c r="K12">
        <f>HLOOKUP(Table2[[#This Row],[METODE PEMBAYARAN]],Data_Acuan!$A$14:$F$15,2,0)</f>
        <v>6500</v>
      </c>
      <c r="L12">
        <f>Table2[[#This Row],[HARGA TOTAL]]*(1-Table2[[#This Row],[DISKON]])+Table2[[#This Row],[BIAYA ADMIN]]</f>
        <v>14105560</v>
      </c>
      <c r="M12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12" t="str">
        <f>IF(OR(Table2[[#This Row],[METODE PEMBAYARAN]]="QRIS/E-Wallet",Table2[[#This Row],[METODE PEMBAYARAN]]="Transfer Bank"),"Lunas",IF(Table2[[#This Row],[METODE PEMBAYARAN]]="Cash","Belum Lunas","Proses"))</f>
        <v>Lunas</v>
      </c>
    </row>
    <row r="13" spans="1:14" x14ac:dyDescent="0.3">
      <c r="A13">
        <v>45764</v>
      </c>
      <c r="B13" t="s">
        <v>26</v>
      </c>
      <c r="C13" t="str">
        <f>_xlfn.XLOOKUP(Table2[[#This Row],[ID PRODUK]],Data_Acuan!$D$5:$D$10,Data_Acuan!$B$5:$B$10,0)</f>
        <v>Iphone 16 128GB</v>
      </c>
      <c r="D13" t="str">
        <f>VLOOKUP(Table2[[#This Row],[ID PRODUK]],Data_Acuan!$D$4:$F$10,2,0)</f>
        <v>Smartphone</v>
      </c>
      <c r="E13" t="s">
        <v>39</v>
      </c>
      <c r="F13">
        <v>2</v>
      </c>
      <c r="G13">
        <f>VLOOKUP(Table2[[#This Row],[ID PRODUK]],Data_Acuan!$D$4:$F$10,3,0)</f>
        <v>14999000</v>
      </c>
      <c r="H13">
        <f>Table2[[#This Row],[JUMLAH TERJUAL]]*Table2[[#This Row],[HARGA PRODUK]]</f>
        <v>29998000</v>
      </c>
      <c r="I13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0.06</v>
      </c>
      <c r="J13" t="str" cm="1">
        <f t="array" ref="J13">_xlfn.IFS(Table2[[#This Row],[HARGA TOTAL]]&gt;=20000000,"Kartu Kredit/Debit",Table2[[#This Row],[HARGA TOTAL]]&gt;=10000000,"Transfer Bank",Table2[[#This Row],[HARGA TOTAL]]&gt;=5000000,"QRIS/E-Wallet",Table2[[#This Row],[HARGA TOTAL]]&lt;=5000000,"Cash")</f>
        <v>Kartu Kredit/Debit</v>
      </c>
      <c r="K13">
        <f>HLOOKUP(Table2[[#This Row],[METODE PEMBAYARAN]],Data_Acuan!$A$14:$F$15,2,0)</f>
        <v>5000</v>
      </c>
      <c r="L13">
        <f>Table2[[#This Row],[HARGA TOTAL]]*(1-Table2[[#This Row],[DISKON]])+Table2[[#This Row],[BIAYA ADMIN]]</f>
        <v>28203120</v>
      </c>
      <c r="M13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13" t="str">
        <f>IF(OR(Table2[[#This Row],[METODE PEMBAYARAN]]="QRIS/E-Wallet",Table2[[#This Row],[METODE PEMBAYARAN]]="Transfer Bank"),"Lunas",IF(Table2[[#This Row],[METODE PEMBAYARAN]]="Cash","Belum Lunas","Proses"))</f>
        <v>Proses</v>
      </c>
    </row>
    <row r="14" spans="1:14" x14ac:dyDescent="0.3">
      <c r="A14">
        <v>45765</v>
      </c>
      <c r="B14" t="s">
        <v>21</v>
      </c>
      <c r="C14" t="str">
        <f>_xlfn.XLOOKUP(Table2[[#This Row],[ID PRODUK]],Data_Acuan!$D$5:$D$10,Data_Acuan!$B$5:$B$10,0)</f>
        <v>Lenovo Idepad</v>
      </c>
      <c r="D14" t="str">
        <f>VLOOKUP(Table2[[#This Row],[ID PRODUK]],Data_Acuan!$D$4:$F$10,2,0)</f>
        <v>Laptop</v>
      </c>
      <c r="E14" t="s">
        <v>40</v>
      </c>
      <c r="F14">
        <v>1</v>
      </c>
      <c r="G14">
        <f>VLOOKUP(Table2[[#This Row],[ID PRODUK]],Data_Acuan!$D$4:$F$10,3,0)</f>
        <v>8500000</v>
      </c>
      <c r="H14">
        <f>Table2[[#This Row],[JUMLAH TERJUAL]]*Table2[[#This Row],[HARGA PRODUK]]</f>
        <v>8500000</v>
      </c>
      <c r="I14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14" t="str" cm="1">
        <f t="array" ref="J14">_xlfn.IFS(Table2[[#This Row],[HARGA TOTAL]]&gt;=20000000,"Kartu Kredit/Debit",Table2[[#This Row],[HARGA TOTAL]]&gt;=10000000,"Transfer Bank",Table2[[#This Row],[HARGA TOTAL]]&gt;=5000000,"QRIS/E-Wallet",Table2[[#This Row],[HARGA TOTAL]]&lt;=5000000,"Cash")</f>
        <v>QRIS/E-Wallet</v>
      </c>
      <c r="K14">
        <f>HLOOKUP(Table2[[#This Row],[METODE PEMBAYARAN]],Data_Acuan!$A$14:$F$15,2,0)</f>
        <v>2500</v>
      </c>
      <c r="L14">
        <f>Table2[[#This Row],[HARGA TOTAL]]*(1-Table2[[#This Row],[DISKON]])+Table2[[#This Row],[BIAYA ADMIN]]</f>
        <v>8502500</v>
      </c>
      <c r="M14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14" t="str">
        <f>IF(OR(Table2[[#This Row],[METODE PEMBAYARAN]]="QRIS/E-Wallet",Table2[[#This Row],[METODE PEMBAYARAN]]="Transfer Bank"),"Lunas",IF(Table2[[#This Row],[METODE PEMBAYARAN]]="Cash","Belum Lunas","Proses"))</f>
        <v>Lunas</v>
      </c>
    </row>
    <row r="15" spans="1:14" x14ac:dyDescent="0.3">
      <c r="A15">
        <v>45766</v>
      </c>
      <c r="B15" t="s">
        <v>23</v>
      </c>
      <c r="C15" t="str">
        <f>_xlfn.XLOOKUP(Table2[[#This Row],[ID PRODUK]],Data_Acuan!$D$5:$D$10,Data_Acuan!$B$5:$B$10,0)</f>
        <v>Logitech Mouse</v>
      </c>
      <c r="D15" t="str">
        <f>VLOOKUP(Table2[[#This Row],[ID PRODUK]],Data_Acuan!$D$4:$F$10,2,0)</f>
        <v>Aksesoris</v>
      </c>
      <c r="E15" t="s">
        <v>41</v>
      </c>
      <c r="F15">
        <v>1</v>
      </c>
      <c r="G15">
        <f>VLOOKUP(Table2[[#This Row],[ID PRODUK]],Data_Acuan!$D$4:$F$10,3,0)</f>
        <v>150000</v>
      </c>
      <c r="H15">
        <f>Table2[[#This Row],[JUMLAH TERJUAL]]*Table2[[#This Row],[HARGA PRODUK]]</f>
        <v>150000</v>
      </c>
      <c r="I15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15" t="str" cm="1">
        <f t="array" ref="J15">_xlfn.IFS(Table2[[#This Row],[HARGA TOTAL]]&gt;=20000000,"Kartu Kredit/Debit",Table2[[#This Row],[HARGA TOTAL]]&gt;=10000000,"Transfer Bank",Table2[[#This Row],[HARGA TOTAL]]&gt;=5000000,"QRIS/E-Wallet",Table2[[#This Row],[HARGA TOTAL]]&lt;=5000000,"Cash")</f>
        <v>Cash</v>
      </c>
      <c r="K15">
        <f>HLOOKUP(Table2[[#This Row],[METODE PEMBAYARAN]],Data_Acuan!$A$14:$F$15,2,0)</f>
        <v>0</v>
      </c>
      <c r="L15">
        <f>Table2[[#This Row],[HARGA TOTAL]]*(1-Table2[[#This Row],[DISKON]])+Table2[[#This Row],[BIAYA ADMIN]]</f>
        <v>150000</v>
      </c>
      <c r="M15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15" t="str">
        <f>IF(OR(Table2[[#This Row],[METODE PEMBAYARAN]]="QRIS/E-Wallet",Table2[[#This Row],[METODE PEMBAYARAN]]="Transfer Bank"),"Lunas",IF(Table2[[#This Row],[METODE PEMBAYARAN]]="Cash","Belum Lunas","Proses"))</f>
        <v>Belum Lunas</v>
      </c>
    </row>
    <row r="16" spans="1:14" x14ac:dyDescent="0.3">
      <c r="A16">
        <v>45766</v>
      </c>
      <c r="B16" t="s">
        <v>21</v>
      </c>
      <c r="C16" t="str">
        <f>_xlfn.XLOOKUP(Table2[[#This Row],[ID PRODUK]],Data_Acuan!$D$5:$D$10,Data_Acuan!$B$5:$B$10,0)</f>
        <v>Lenovo Idepad</v>
      </c>
      <c r="D16" t="str">
        <f>VLOOKUP(Table2[[#This Row],[ID PRODUK]],Data_Acuan!$D$4:$F$10,2,0)</f>
        <v>Laptop</v>
      </c>
      <c r="E16" t="s">
        <v>42</v>
      </c>
      <c r="F16">
        <v>1</v>
      </c>
      <c r="G16">
        <f>VLOOKUP(Table2[[#This Row],[ID PRODUK]],Data_Acuan!$D$4:$F$10,3,0)</f>
        <v>8500000</v>
      </c>
      <c r="H16">
        <f>Table2[[#This Row],[JUMLAH TERJUAL]]*Table2[[#This Row],[HARGA PRODUK]]</f>
        <v>8500000</v>
      </c>
      <c r="I16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16" t="str" cm="1">
        <f t="array" ref="J16">_xlfn.IFS(Table2[[#This Row],[HARGA TOTAL]]&gt;=20000000,"Kartu Kredit/Debit",Table2[[#This Row],[HARGA TOTAL]]&gt;=10000000,"Transfer Bank",Table2[[#This Row],[HARGA TOTAL]]&gt;=5000000,"QRIS/E-Wallet",Table2[[#This Row],[HARGA TOTAL]]&lt;=5000000,"Cash")</f>
        <v>QRIS/E-Wallet</v>
      </c>
      <c r="K16">
        <f>HLOOKUP(Table2[[#This Row],[METODE PEMBAYARAN]],Data_Acuan!$A$14:$F$15,2,0)</f>
        <v>2500</v>
      </c>
      <c r="L16">
        <f>Table2[[#This Row],[HARGA TOTAL]]*(1-Table2[[#This Row],[DISKON]])+Table2[[#This Row],[BIAYA ADMIN]]</f>
        <v>8502500</v>
      </c>
      <c r="M16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16" t="str">
        <f>IF(OR(Table2[[#This Row],[METODE PEMBAYARAN]]="QRIS/E-Wallet",Table2[[#This Row],[METODE PEMBAYARAN]]="Transfer Bank"),"Lunas",IF(Table2[[#This Row],[METODE PEMBAYARAN]]="Cash","Belum Lunas","Proses"))</f>
        <v>Lunas</v>
      </c>
    </row>
    <row r="17" spans="1:14" x14ac:dyDescent="0.3">
      <c r="A17">
        <v>45767</v>
      </c>
      <c r="B17" t="s">
        <v>21</v>
      </c>
      <c r="C17" t="str">
        <f>_xlfn.XLOOKUP(Table2[[#This Row],[ID PRODUK]],Data_Acuan!$D$5:$D$10,Data_Acuan!$B$5:$B$10,0)</f>
        <v>Lenovo Idepad</v>
      </c>
      <c r="D17" t="str">
        <f>VLOOKUP(Table2[[#This Row],[ID PRODUK]],Data_Acuan!$D$4:$F$10,2,0)</f>
        <v>Laptop</v>
      </c>
      <c r="E17" t="s">
        <v>43</v>
      </c>
      <c r="F17">
        <v>4</v>
      </c>
      <c r="G17">
        <f>VLOOKUP(Table2[[#This Row],[ID PRODUK]],Data_Acuan!$D$4:$F$10,3,0)</f>
        <v>8500000</v>
      </c>
      <c r="H17">
        <f>Table2[[#This Row],[JUMLAH TERJUAL]]*Table2[[#This Row],[HARGA PRODUK]]</f>
        <v>34000000</v>
      </c>
      <c r="I17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17" t="str" cm="1">
        <f t="array" ref="J17">_xlfn.IFS(Table2[[#This Row],[HARGA TOTAL]]&gt;=20000000,"Kartu Kredit/Debit",Table2[[#This Row],[HARGA TOTAL]]&gt;=10000000,"Transfer Bank",Table2[[#This Row],[HARGA TOTAL]]&gt;=5000000,"QRIS/E-Wallet",Table2[[#This Row],[HARGA TOTAL]]&lt;=5000000,"Cash")</f>
        <v>Kartu Kredit/Debit</v>
      </c>
      <c r="K17">
        <f>HLOOKUP(Table2[[#This Row],[METODE PEMBAYARAN]],Data_Acuan!$A$14:$F$15,2,0)</f>
        <v>5000</v>
      </c>
      <c r="L17">
        <f>Table2[[#This Row],[HARGA TOTAL]]*(1-Table2[[#This Row],[DISKON]])+Table2[[#This Row],[BIAYA ADMIN]]</f>
        <v>34005000</v>
      </c>
      <c r="M17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Flashdisk 16-32GB</v>
      </c>
      <c r="N17" t="str">
        <f>IF(OR(Table2[[#This Row],[METODE PEMBAYARAN]]="QRIS/E-Wallet",Table2[[#This Row],[METODE PEMBAYARAN]]="Transfer Bank"),"Lunas",IF(Table2[[#This Row],[METODE PEMBAYARAN]]="Cash","Belum Lunas","Proses"))</f>
        <v>Proses</v>
      </c>
    </row>
    <row r="18" spans="1:14" x14ac:dyDescent="0.3">
      <c r="A18">
        <v>45768</v>
      </c>
      <c r="B18" t="s">
        <v>23</v>
      </c>
      <c r="C18" t="str">
        <f>_xlfn.XLOOKUP(Table2[[#This Row],[ID PRODUK]],Data_Acuan!$D$5:$D$10,Data_Acuan!$B$5:$B$10,0)</f>
        <v>Logitech Mouse</v>
      </c>
      <c r="D18" t="str">
        <f>VLOOKUP(Table2[[#This Row],[ID PRODUK]],Data_Acuan!$D$4:$F$10,2,0)</f>
        <v>Aksesoris</v>
      </c>
      <c r="E18" t="s">
        <v>44</v>
      </c>
      <c r="F18">
        <v>2</v>
      </c>
      <c r="G18">
        <f>VLOOKUP(Table2[[#This Row],[ID PRODUK]],Data_Acuan!$D$4:$F$10,3,0)</f>
        <v>150000</v>
      </c>
      <c r="H18">
        <f>Table2[[#This Row],[JUMLAH TERJUAL]]*Table2[[#This Row],[HARGA PRODUK]]</f>
        <v>300000</v>
      </c>
      <c r="I18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18" t="str" cm="1">
        <f t="array" ref="J18">_xlfn.IFS(Table2[[#This Row],[HARGA TOTAL]]&gt;=20000000,"Kartu Kredit/Debit",Table2[[#This Row],[HARGA TOTAL]]&gt;=10000000,"Transfer Bank",Table2[[#This Row],[HARGA TOTAL]]&gt;=5000000,"QRIS/E-Wallet",Table2[[#This Row],[HARGA TOTAL]]&lt;=5000000,"Cash")</f>
        <v>Cash</v>
      </c>
      <c r="K18">
        <f>HLOOKUP(Table2[[#This Row],[METODE PEMBAYARAN]],Data_Acuan!$A$14:$F$15,2,0)</f>
        <v>0</v>
      </c>
      <c r="L18">
        <f>Table2[[#This Row],[HARGA TOTAL]]*(1-Table2[[#This Row],[DISKON]])+Table2[[#This Row],[BIAYA ADMIN]]</f>
        <v>300000</v>
      </c>
      <c r="M18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18" t="str">
        <f>IF(OR(Table2[[#This Row],[METODE PEMBAYARAN]]="QRIS/E-Wallet",Table2[[#This Row],[METODE PEMBAYARAN]]="Transfer Bank"),"Lunas",IF(Table2[[#This Row],[METODE PEMBAYARAN]]="Cash","Belum Lunas","Proses"))</f>
        <v>Belum Lunas</v>
      </c>
    </row>
    <row r="19" spans="1:14" x14ac:dyDescent="0.3">
      <c r="A19">
        <v>45769</v>
      </c>
      <c r="B19" t="s">
        <v>25</v>
      </c>
      <c r="C19" t="str">
        <f>_xlfn.XLOOKUP(Table2[[#This Row],[ID PRODUK]],Data_Acuan!$D$5:$D$10,Data_Acuan!$B$5:$B$10,0)</f>
        <v>Samsung A15</v>
      </c>
      <c r="D19" t="str">
        <f>VLOOKUP(Table2[[#This Row],[ID PRODUK]],Data_Acuan!$D$4:$F$10,2,0)</f>
        <v>Smartphone</v>
      </c>
      <c r="E19" t="s">
        <v>45</v>
      </c>
      <c r="F19">
        <v>3</v>
      </c>
      <c r="G19">
        <f>VLOOKUP(Table2[[#This Row],[ID PRODUK]],Data_Acuan!$D$4:$F$10,3,0)</f>
        <v>2200000</v>
      </c>
      <c r="H19">
        <f>Table2[[#This Row],[JUMLAH TERJUAL]]*Table2[[#This Row],[HARGA PRODUK]]</f>
        <v>6600000</v>
      </c>
      <c r="I19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19" t="str" cm="1">
        <f t="array" ref="J19">_xlfn.IFS(Table2[[#This Row],[HARGA TOTAL]]&gt;=20000000,"Kartu Kredit/Debit",Table2[[#This Row],[HARGA TOTAL]]&gt;=10000000,"Transfer Bank",Table2[[#This Row],[HARGA TOTAL]]&gt;=5000000,"QRIS/E-Wallet",Table2[[#This Row],[HARGA TOTAL]]&lt;=5000000,"Cash")</f>
        <v>QRIS/E-Wallet</v>
      </c>
      <c r="K19">
        <f>HLOOKUP(Table2[[#This Row],[METODE PEMBAYARAN]],Data_Acuan!$A$14:$F$15,2,0)</f>
        <v>2500</v>
      </c>
      <c r="L19">
        <f>Table2[[#This Row],[HARGA TOTAL]]*(1-Table2[[#This Row],[DISKON]])+Table2[[#This Row],[BIAYA ADMIN]]</f>
        <v>6602500</v>
      </c>
      <c r="M19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Tempered Glass&amp;Kartu Perdana</v>
      </c>
      <c r="N19" t="str">
        <f>IF(OR(Table2[[#This Row],[METODE PEMBAYARAN]]="QRIS/E-Wallet",Table2[[#This Row],[METODE PEMBAYARAN]]="Transfer Bank"),"Lunas",IF(Table2[[#This Row],[METODE PEMBAYARAN]]="Cash","Belum Lunas","Proses"))</f>
        <v>Lunas</v>
      </c>
    </row>
    <row r="20" spans="1:14" x14ac:dyDescent="0.3">
      <c r="A20">
        <v>45770</v>
      </c>
      <c r="B20" t="s">
        <v>25</v>
      </c>
      <c r="C20" t="str">
        <f>_xlfn.XLOOKUP(Table2[[#This Row],[ID PRODUK]],Data_Acuan!$D$5:$D$10,Data_Acuan!$B$5:$B$10,0)</f>
        <v>Samsung A15</v>
      </c>
      <c r="D20" t="str">
        <f>VLOOKUP(Table2[[#This Row],[ID PRODUK]],Data_Acuan!$D$4:$F$10,2,0)</f>
        <v>Smartphone</v>
      </c>
      <c r="E20" t="s">
        <v>46</v>
      </c>
      <c r="F20">
        <v>3</v>
      </c>
      <c r="G20">
        <f>VLOOKUP(Table2[[#This Row],[ID PRODUK]],Data_Acuan!$D$4:$F$10,3,0)</f>
        <v>2200000</v>
      </c>
      <c r="H20">
        <f>Table2[[#This Row],[JUMLAH TERJUAL]]*Table2[[#This Row],[HARGA PRODUK]]</f>
        <v>6600000</v>
      </c>
      <c r="I20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20" t="str" cm="1">
        <f t="array" ref="J20">_xlfn.IFS(Table2[[#This Row],[HARGA TOTAL]]&gt;=20000000,"Kartu Kredit/Debit",Table2[[#This Row],[HARGA TOTAL]]&gt;=10000000,"Transfer Bank",Table2[[#This Row],[HARGA TOTAL]]&gt;=5000000,"QRIS/E-Wallet",Table2[[#This Row],[HARGA TOTAL]]&lt;=5000000,"Cash")</f>
        <v>QRIS/E-Wallet</v>
      </c>
      <c r="K20">
        <f>HLOOKUP(Table2[[#This Row],[METODE PEMBAYARAN]],Data_Acuan!$A$14:$F$15,2,0)</f>
        <v>2500</v>
      </c>
      <c r="L20">
        <f>Table2[[#This Row],[HARGA TOTAL]]*(1-Table2[[#This Row],[DISKON]])+Table2[[#This Row],[BIAYA ADMIN]]</f>
        <v>6602500</v>
      </c>
      <c r="M20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Tempered Glass&amp;Kartu Perdana</v>
      </c>
      <c r="N20" t="str">
        <f>IF(OR(Table2[[#This Row],[METODE PEMBAYARAN]]="QRIS/E-Wallet",Table2[[#This Row],[METODE PEMBAYARAN]]="Transfer Bank"),"Lunas",IF(Table2[[#This Row],[METODE PEMBAYARAN]]="Cash","Belum Lunas","Proses"))</f>
        <v>Lunas</v>
      </c>
    </row>
    <row r="21" spans="1:14" x14ac:dyDescent="0.3">
      <c r="A21">
        <v>45771</v>
      </c>
      <c r="B21" t="s">
        <v>23</v>
      </c>
      <c r="C21" t="str">
        <f>_xlfn.XLOOKUP(Table2[[#This Row],[ID PRODUK]],Data_Acuan!$D$5:$D$10,Data_Acuan!$B$5:$B$10,0)</f>
        <v>Logitech Mouse</v>
      </c>
      <c r="D21" t="str">
        <f>VLOOKUP(Table2[[#This Row],[ID PRODUK]],Data_Acuan!$D$4:$F$10,2,0)</f>
        <v>Aksesoris</v>
      </c>
      <c r="E21" t="s">
        <v>47</v>
      </c>
      <c r="F21">
        <v>2</v>
      </c>
      <c r="G21">
        <f>VLOOKUP(Table2[[#This Row],[ID PRODUK]],Data_Acuan!$D$4:$F$10,3,0)</f>
        <v>150000</v>
      </c>
      <c r="H21">
        <f>Table2[[#This Row],[JUMLAH TERJUAL]]*Table2[[#This Row],[HARGA PRODUK]]</f>
        <v>300000</v>
      </c>
      <c r="I21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21" t="str" cm="1">
        <f t="array" ref="J21">_xlfn.IFS(Table2[[#This Row],[HARGA TOTAL]]&gt;=20000000,"Kartu Kredit/Debit",Table2[[#This Row],[HARGA TOTAL]]&gt;=10000000,"Transfer Bank",Table2[[#This Row],[HARGA TOTAL]]&gt;=5000000,"QRIS/E-Wallet",Table2[[#This Row],[HARGA TOTAL]]&lt;=5000000,"Cash")</f>
        <v>Cash</v>
      </c>
      <c r="K21">
        <f>HLOOKUP(Table2[[#This Row],[METODE PEMBAYARAN]],Data_Acuan!$A$14:$F$15,2,0)</f>
        <v>0</v>
      </c>
      <c r="L21">
        <f>Table2[[#This Row],[HARGA TOTAL]]*(1-Table2[[#This Row],[DISKON]])+Table2[[#This Row],[BIAYA ADMIN]]</f>
        <v>300000</v>
      </c>
      <c r="M21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21" t="str">
        <f>IF(OR(Table2[[#This Row],[METODE PEMBAYARAN]]="QRIS/E-Wallet",Table2[[#This Row],[METODE PEMBAYARAN]]="Transfer Bank"),"Lunas",IF(Table2[[#This Row],[METODE PEMBAYARAN]]="Cash","Belum Lunas","Proses"))</f>
        <v>Belum Lunas</v>
      </c>
    </row>
    <row r="22" spans="1:14" x14ac:dyDescent="0.3">
      <c r="A22">
        <v>45772</v>
      </c>
      <c r="B22" t="s">
        <v>24</v>
      </c>
      <c r="C22" t="str">
        <f>_xlfn.XLOOKUP(Table2[[#This Row],[ID PRODUK]],Data_Acuan!$D$5:$D$10,Data_Acuan!$B$5:$B$10,0)</f>
        <v>AirPods Gen-2</v>
      </c>
      <c r="D22" t="str">
        <f>VLOOKUP(Table2[[#This Row],[ID PRODUK]],Data_Acuan!$D$4:$F$10,2,0)</f>
        <v>Aksesoris</v>
      </c>
      <c r="E22" t="s">
        <v>48</v>
      </c>
      <c r="F22">
        <v>4</v>
      </c>
      <c r="G22">
        <f>VLOOKUP(Table2[[#This Row],[ID PRODUK]],Data_Acuan!$D$4:$F$10,3,0)</f>
        <v>1899000</v>
      </c>
      <c r="H22">
        <f>Table2[[#This Row],[JUMLAH TERJUAL]]*Table2[[#This Row],[HARGA PRODUK]]</f>
        <v>7596000</v>
      </c>
      <c r="I22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0.02</v>
      </c>
      <c r="J22" t="str" cm="1">
        <f t="array" ref="J22">_xlfn.IFS(Table2[[#This Row],[HARGA TOTAL]]&gt;=20000000,"Kartu Kredit/Debit",Table2[[#This Row],[HARGA TOTAL]]&gt;=10000000,"Transfer Bank",Table2[[#This Row],[HARGA TOTAL]]&gt;=5000000,"QRIS/E-Wallet",Table2[[#This Row],[HARGA TOTAL]]&lt;=5000000,"Cash")</f>
        <v>QRIS/E-Wallet</v>
      </c>
      <c r="K22">
        <f>HLOOKUP(Table2[[#This Row],[METODE PEMBAYARAN]],Data_Acuan!$A$14:$F$15,2,0)</f>
        <v>2500</v>
      </c>
      <c r="L22">
        <f>Table2[[#This Row],[HARGA TOTAL]]*(1-Table2[[#This Row],[DISKON]])+Table2[[#This Row],[BIAYA ADMIN]]</f>
        <v>7446580</v>
      </c>
      <c r="M22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Merchandise Brand</v>
      </c>
      <c r="N22" t="str">
        <f>IF(OR(Table2[[#This Row],[METODE PEMBAYARAN]]="QRIS/E-Wallet",Table2[[#This Row],[METODE PEMBAYARAN]]="Transfer Bank"),"Lunas",IF(Table2[[#This Row],[METODE PEMBAYARAN]]="Cash","Belum Lunas","Proses"))</f>
        <v>Lunas</v>
      </c>
    </row>
    <row r="23" spans="1:14" x14ac:dyDescent="0.3">
      <c r="A23">
        <v>45772</v>
      </c>
      <c r="B23" t="s">
        <v>21</v>
      </c>
      <c r="C23" t="str">
        <f>_xlfn.XLOOKUP(Table2[[#This Row],[ID PRODUK]],Data_Acuan!$D$5:$D$10,Data_Acuan!$B$5:$B$10,0)</f>
        <v>Lenovo Idepad</v>
      </c>
      <c r="D23" t="str">
        <f>VLOOKUP(Table2[[#This Row],[ID PRODUK]],Data_Acuan!$D$4:$F$10,2,0)</f>
        <v>Laptop</v>
      </c>
      <c r="E23" t="s">
        <v>49</v>
      </c>
      <c r="F23">
        <v>3</v>
      </c>
      <c r="G23">
        <f>VLOOKUP(Table2[[#This Row],[ID PRODUK]],Data_Acuan!$D$4:$F$10,3,0)</f>
        <v>8500000</v>
      </c>
      <c r="H23">
        <f>Table2[[#This Row],[JUMLAH TERJUAL]]*Table2[[#This Row],[HARGA PRODUK]]</f>
        <v>25500000</v>
      </c>
      <c r="I23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23" t="str" cm="1">
        <f t="array" ref="J23">_xlfn.IFS(Table2[[#This Row],[HARGA TOTAL]]&gt;=20000000,"Kartu Kredit/Debit",Table2[[#This Row],[HARGA TOTAL]]&gt;=10000000,"Transfer Bank",Table2[[#This Row],[HARGA TOTAL]]&gt;=5000000,"QRIS/E-Wallet",Table2[[#This Row],[HARGA TOTAL]]&lt;=5000000,"Cash")</f>
        <v>Kartu Kredit/Debit</v>
      </c>
      <c r="K23">
        <f>HLOOKUP(Table2[[#This Row],[METODE PEMBAYARAN]],Data_Acuan!$A$14:$F$15,2,0)</f>
        <v>5000</v>
      </c>
      <c r="L23">
        <f>Table2[[#This Row],[HARGA TOTAL]]*(1-Table2[[#This Row],[DISKON]])+Table2[[#This Row],[BIAYA ADMIN]]</f>
        <v>25505000</v>
      </c>
      <c r="M23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Flashdisk 16-32GB</v>
      </c>
      <c r="N23" t="str">
        <f>IF(OR(Table2[[#This Row],[METODE PEMBAYARAN]]="QRIS/E-Wallet",Table2[[#This Row],[METODE PEMBAYARAN]]="Transfer Bank"),"Lunas",IF(Table2[[#This Row],[METODE PEMBAYARAN]]="Cash","Belum Lunas","Proses"))</f>
        <v>Proses</v>
      </c>
    </row>
    <row r="24" spans="1:14" x14ac:dyDescent="0.3">
      <c r="A24">
        <v>45772</v>
      </c>
      <c r="B24" t="s">
        <v>24</v>
      </c>
      <c r="C24" t="str">
        <f>_xlfn.XLOOKUP(Table2[[#This Row],[ID PRODUK]],Data_Acuan!$D$5:$D$10,Data_Acuan!$B$5:$B$10,0)</f>
        <v>AirPods Gen-2</v>
      </c>
      <c r="D24" t="str">
        <f>VLOOKUP(Table2[[#This Row],[ID PRODUK]],Data_Acuan!$D$4:$F$10,2,0)</f>
        <v>Aksesoris</v>
      </c>
      <c r="E24" t="s">
        <v>50</v>
      </c>
      <c r="F24">
        <v>2</v>
      </c>
      <c r="G24">
        <f>VLOOKUP(Table2[[#This Row],[ID PRODUK]],Data_Acuan!$D$4:$F$10,3,0)</f>
        <v>1899000</v>
      </c>
      <c r="H24">
        <f>Table2[[#This Row],[JUMLAH TERJUAL]]*Table2[[#This Row],[HARGA PRODUK]]</f>
        <v>3798000</v>
      </c>
      <c r="I24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0.02</v>
      </c>
      <c r="J24" t="str" cm="1">
        <f t="array" ref="J24">_xlfn.IFS(Table2[[#This Row],[HARGA TOTAL]]&gt;=20000000,"Kartu Kredit/Debit",Table2[[#This Row],[HARGA TOTAL]]&gt;=10000000,"Transfer Bank",Table2[[#This Row],[HARGA TOTAL]]&gt;=5000000,"QRIS/E-Wallet",Table2[[#This Row],[HARGA TOTAL]]&lt;=5000000,"Cash")</f>
        <v>Cash</v>
      </c>
      <c r="K24">
        <f>HLOOKUP(Table2[[#This Row],[METODE PEMBAYARAN]],Data_Acuan!$A$14:$F$15,2,0)</f>
        <v>0</v>
      </c>
      <c r="L24">
        <f>Table2[[#This Row],[HARGA TOTAL]]*(1-Table2[[#This Row],[DISKON]])+Table2[[#This Row],[BIAYA ADMIN]]</f>
        <v>3722040</v>
      </c>
      <c r="M24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24" t="str">
        <f>IF(OR(Table2[[#This Row],[METODE PEMBAYARAN]]="QRIS/E-Wallet",Table2[[#This Row],[METODE PEMBAYARAN]]="Transfer Bank"),"Lunas",IF(Table2[[#This Row],[METODE PEMBAYARAN]]="Cash","Belum Lunas","Proses"))</f>
        <v>Belum Lunas</v>
      </c>
    </row>
    <row r="25" spans="1:14" x14ac:dyDescent="0.3">
      <c r="A25">
        <v>45774</v>
      </c>
      <c r="B25" t="s">
        <v>25</v>
      </c>
      <c r="C25" t="str">
        <f>_xlfn.XLOOKUP(Table2[[#This Row],[ID PRODUK]],Data_Acuan!$D$5:$D$10,Data_Acuan!$B$5:$B$10,0)</f>
        <v>Samsung A15</v>
      </c>
      <c r="D25" t="str">
        <f>VLOOKUP(Table2[[#This Row],[ID PRODUK]],Data_Acuan!$D$4:$F$10,2,0)</f>
        <v>Smartphone</v>
      </c>
      <c r="E25" t="s">
        <v>51</v>
      </c>
      <c r="F25">
        <v>1</v>
      </c>
      <c r="G25">
        <f>VLOOKUP(Table2[[#This Row],[ID PRODUK]],Data_Acuan!$D$4:$F$10,3,0)</f>
        <v>2200000</v>
      </c>
      <c r="H25">
        <f>Table2[[#This Row],[JUMLAH TERJUAL]]*Table2[[#This Row],[HARGA PRODUK]]</f>
        <v>2200000</v>
      </c>
      <c r="I25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25" t="str" cm="1">
        <f t="array" ref="J25">_xlfn.IFS(Table2[[#This Row],[HARGA TOTAL]]&gt;=20000000,"Kartu Kredit/Debit",Table2[[#This Row],[HARGA TOTAL]]&gt;=10000000,"Transfer Bank",Table2[[#This Row],[HARGA TOTAL]]&gt;=5000000,"QRIS/E-Wallet",Table2[[#This Row],[HARGA TOTAL]]&lt;=5000000,"Cash")</f>
        <v>Cash</v>
      </c>
      <c r="K25">
        <f>HLOOKUP(Table2[[#This Row],[METODE PEMBAYARAN]],Data_Acuan!$A$14:$F$15,2,0)</f>
        <v>0</v>
      </c>
      <c r="L25">
        <f>Table2[[#This Row],[HARGA TOTAL]]*(1-Table2[[#This Row],[DISKON]])+Table2[[#This Row],[BIAYA ADMIN]]</f>
        <v>2200000</v>
      </c>
      <c r="M25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25" t="str">
        <f>IF(OR(Table2[[#This Row],[METODE PEMBAYARAN]]="QRIS/E-Wallet",Table2[[#This Row],[METODE PEMBAYARAN]]="Transfer Bank"),"Lunas",IF(Table2[[#This Row],[METODE PEMBAYARAN]]="Cash","Belum Lunas","Proses"))</f>
        <v>Belum Lunas</v>
      </c>
    </row>
    <row r="26" spans="1:14" x14ac:dyDescent="0.3">
      <c r="A26">
        <v>45775</v>
      </c>
      <c r="B26" t="s">
        <v>25</v>
      </c>
      <c r="C26" t="str">
        <f>_xlfn.XLOOKUP(Table2[[#This Row],[ID PRODUK]],Data_Acuan!$D$5:$D$10,Data_Acuan!$B$5:$B$10,0)</f>
        <v>Samsung A15</v>
      </c>
      <c r="D26" t="str">
        <f>VLOOKUP(Table2[[#This Row],[ID PRODUK]],Data_Acuan!$D$4:$F$10,2,0)</f>
        <v>Smartphone</v>
      </c>
      <c r="E26" t="s">
        <v>52</v>
      </c>
      <c r="F26">
        <v>1</v>
      </c>
      <c r="G26">
        <f>VLOOKUP(Table2[[#This Row],[ID PRODUK]],Data_Acuan!$D$4:$F$10,3,0)</f>
        <v>2200000</v>
      </c>
      <c r="H26">
        <f>Table2[[#This Row],[JUMLAH TERJUAL]]*Table2[[#This Row],[HARGA PRODUK]]</f>
        <v>2200000</v>
      </c>
      <c r="I26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26" t="str" cm="1">
        <f t="array" ref="J26">_xlfn.IFS(Table2[[#This Row],[HARGA TOTAL]]&gt;=20000000,"Kartu Kredit/Debit",Table2[[#This Row],[HARGA TOTAL]]&gt;=10000000,"Transfer Bank",Table2[[#This Row],[HARGA TOTAL]]&gt;=5000000,"QRIS/E-Wallet",Table2[[#This Row],[HARGA TOTAL]]&lt;=5000000,"Cash")</f>
        <v>Cash</v>
      </c>
      <c r="K26">
        <f>HLOOKUP(Table2[[#This Row],[METODE PEMBAYARAN]],Data_Acuan!$A$14:$F$15,2,0)</f>
        <v>0</v>
      </c>
      <c r="L26">
        <f>Table2[[#This Row],[HARGA TOTAL]]*(1-Table2[[#This Row],[DISKON]])+Table2[[#This Row],[BIAYA ADMIN]]</f>
        <v>2200000</v>
      </c>
      <c r="M26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26" t="str">
        <f>IF(OR(Table2[[#This Row],[METODE PEMBAYARAN]]="QRIS/E-Wallet",Table2[[#This Row],[METODE PEMBAYARAN]]="Transfer Bank"),"Lunas",IF(Table2[[#This Row],[METODE PEMBAYARAN]]="Cash","Belum Lunas","Proses"))</f>
        <v>Belum Lunas</v>
      </c>
    </row>
    <row r="27" spans="1:14" x14ac:dyDescent="0.3">
      <c r="A27">
        <v>45776</v>
      </c>
      <c r="B27" t="s">
        <v>26</v>
      </c>
      <c r="C27" t="str">
        <f>_xlfn.XLOOKUP(Table2[[#This Row],[ID PRODUK]],Data_Acuan!$D$5:$D$10,Data_Acuan!$B$5:$B$10,0)</f>
        <v>Iphone 16 128GB</v>
      </c>
      <c r="D27" t="str">
        <f>VLOOKUP(Table2[[#This Row],[ID PRODUK]],Data_Acuan!$D$4:$F$10,2,0)</f>
        <v>Smartphone</v>
      </c>
      <c r="E27" t="s">
        <v>53</v>
      </c>
      <c r="F27">
        <v>1</v>
      </c>
      <c r="G27">
        <f>VLOOKUP(Table2[[#This Row],[ID PRODUK]],Data_Acuan!$D$4:$F$10,3,0)</f>
        <v>14999000</v>
      </c>
      <c r="H27">
        <f>Table2[[#This Row],[JUMLAH TERJUAL]]*Table2[[#This Row],[HARGA PRODUK]]</f>
        <v>14999000</v>
      </c>
      <c r="I27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0.06</v>
      </c>
      <c r="J27" t="str" cm="1">
        <f t="array" ref="J27">_xlfn.IFS(Table2[[#This Row],[HARGA TOTAL]]&gt;=20000000,"Kartu Kredit/Debit",Table2[[#This Row],[HARGA TOTAL]]&gt;=10000000,"Transfer Bank",Table2[[#This Row],[HARGA TOTAL]]&gt;=5000000,"QRIS/E-Wallet",Table2[[#This Row],[HARGA TOTAL]]&lt;=5000000,"Cash")</f>
        <v>Transfer Bank</v>
      </c>
      <c r="K27">
        <f>HLOOKUP(Table2[[#This Row],[METODE PEMBAYARAN]],Data_Acuan!$A$14:$F$15,2,0)</f>
        <v>6500</v>
      </c>
      <c r="L27">
        <f>Table2[[#This Row],[HARGA TOTAL]]*(1-Table2[[#This Row],[DISKON]])+Table2[[#This Row],[BIAYA ADMIN]]</f>
        <v>14105560</v>
      </c>
      <c r="M27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27" t="str">
        <f>IF(OR(Table2[[#This Row],[METODE PEMBAYARAN]]="QRIS/E-Wallet",Table2[[#This Row],[METODE PEMBAYARAN]]="Transfer Bank"),"Lunas",IF(Table2[[#This Row],[METODE PEMBAYARAN]]="Cash","Belum Lunas","Proses"))</f>
        <v>Lunas</v>
      </c>
    </row>
    <row r="28" spans="1:14" x14ac:dyDescent="0.3">
      <c r="A28">
        <v>45776</v>
      </c>
      <c r="B28" t="s">
        <v>21</v>
      </c>
      <c r="C28" t="str">
        <f>_xlfn.XLOOKUP(Table2[[#This Row],[ID PRODUK]],Data_Acuan!$D$5:$D$10,Data_Acuan!$B$5:$B$10,0)</f>
        <v>Lenovo Idepad</v>
      </c>
      <c r="D28" t="str">
        <f>VLOOKUP(Table2[[#This Row],[ID PRODUK]],Data_Acuan!$D$4:$F$10,2,0)</f>
        <v>Laptop</v>
      </c>
      <c r="E28" t="s">
        <v>54</v>
      </c>
      <c r="F28">
        <v>3</v>
      </c>
      <c r="G28">
        <f>VLOOKUP(Table2[[#This Row],[ID PRODUK]],Data_Acuan!$D$4:$F$10,3,0)</f>
        <v>8500000</v>
      </c>
      <c r="H28">
        <f>Table2[[#This Row],[JUMLAH TERJUAL]]*Table2[[#This Row],[HARGA PRODUK]]</f>
        <v>25500000</v>
      </c>
      <c r="I28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28" t="str" cm="1">
        <f t="array" ref="J28">_xlfn.IFS(Table2[[#This Row],[HARGA TOTAL]]&gt;=20000000,"Kartu Kredit/Debit",Table2[[#This Row],[HARGA TOTAL]]&gt;=10000000,"Transfer Bank",Table2[[#This Row],[HARGA TOTAL]]&gt;=5000000,"QRIS/E-Wallet",Table2[[#This Row],[HARGA TOTAL]]&lt;=5000000,"Cash")</f>
        <v>Kartu Kredit/Debit</v>
      </c>
      <c r="K28">
        <f>HLOOKUP(Table2[[#This Row],[METODE PEMBAYARAN]],Data_Acuan!$A$14:$F$15,2,0)</f>
        <v>5000</v>
      </c>
      <c r="L28">
        <f>Table2[[#This Row],[HARGA TOTAL]]*(1-Table2[[#This Row],[DISKON]])+Table2[[#This Row],[BIAYA ADMIN]]</f>
        <v>25505000</v>
      </c>
      <c r="M28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Flashdisk 16-32GB</v>
      </c>
      <c r="N28" t="str">
        <f>IF(OR(Table2[[#This Row],[METODE PEMBAYARAN]]="QRIS/E-Wallet",Table2[[#This Row],[METODE PEMBAYARAN]]="Transfer Bank"),"Lunas",IF(Table2[[#This Row],[METODE PEMBAYARAN]]="Cash","Belum Lunas","Proses"))</f>
        <v>Proses</v>
      </c>
    </row>
    <row r="29" spans="1:14" x14ac:dyDescent="0.3">
      <c r="A29">
        <v>45777</v>
      </c>
      <c r="B29" t="s">
        <v>22</v>
      </c>
      <c r="C29" t="str">
        <f>_xlfn.XLOOKUP(Table2[[#This Row],[ID PRODUK]],Data_Acuan!$D$5:$D$10,Data_Acuan!$B$5:$B$10,0)</f>
        <v>Acer Aspire 5</v>
      </c>
      <c r="D29" t="str">
        <f>VLOOKUP(Table2[[#This Row],[ID PRODUK]],Data_Acuan!$D$4:$F$10,2,0)</f>
        <v>Laptop</v>
      </c>
      <c r="E29" t="s">
        <v>55</v>
      </c>
      <c r="F29">
        <v>2</v>
      </c>
      <c r="G29">
        <f>VLOOKUP(Table2[[#This Row],[ID PRODUK]],Data_Acuan!$D$4:$F$10,3,0)</f>
        <v>9000000</v>
      </c>
      <c r="H29">
        <f>Table2[[#This Row],[JUMLAH TERJUAL]]*Table2[[#This Row],[HARGA PRODUK]]</f>
        <v>18000000</v>
      </c>
      <c r="I29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0.08</v>
      </c>
      <c r="J29" t="str" cm="1">
        <f t="array" ref="J29">_xlfn.IFS(Table2[[#This Row],[HARGA TOTAL]]&gt;=20000000,"Kartu Kredit/Debit",Table2[[#This Row],[HARGA TOTAL]]&gt;=10000000,"Transfer Bank",Table2[[#This Row],[HARGA TOTAL]]&gt;=5000000,"QRIS/E-Wallet",Table2[[#This Row],[HARGA TOTAL]]&lt;=5000000,"Cash")</f>
        <v>Transfer Bank</v>
      </c>
      <c r="K29">
        <f>HLOOKUP(Table2[[#This Row],[METODE PEMBAYARAN]],Data_Acuan!$A$14:$F$15,2,0)</f>
        <v>6500</v>
      </c>
      <c r="L29">
        <f>Table2[[#This Row],[HARGA TOTAL]]*(1-Table2[[#This Row],[DISKON]])+Table2[[#This Row],[BIAYA ADMIN]]</f>
        <v>16566500</v>
      </c>
      <c r="M29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29" t="str">
        <f>IF(OR(Table2[[#This Row],[METODE PEMBAYARAN]]="QRIS/E-Wallet",Table2[[#This Row],[METODE PEMBAYARAN]]="Transfer Bank"),"Lunas",IF(Table2[[#This Row],[METODE PEMBAYARAN]]="Cash","Belum Lunas","Proses"))</f>
        <v>Lunas</v>
      </c>
    </row>
    <row r="30" spans="1:14" x14ac:dyDescent="0.3">
      <c r="A30">
        <v>45777</v>
      </c>
      <c r="B30" t="s">
        <v>22</v>
      </c>
      <c r="C30" t="str">
        <f>_xlfn.XLOOKUP(Table2[[#This Row],[ID PRODUK]],Data_Acuan!$D$5:$D$10,Data_Acuan!$B$5:$B$10,0)</f>
        <v>Acer Aspire 5</v>
      </c>
      <c r="D30" t="str">
        <f>VLOOKUP(Table2[[#This Row],[ID PRODUK]],Data_Acuan!$D$4:$F$10,2,0)</f>
        <v>Laptop</v>
      </c>
      <c r="E30" t="s">
        <v>56</v>
      </c>
      <c r="F30">
        <v>1</v>
      </c>
      <c r="G30">
        <f>VLOOKUP(Table2[[#This Row],[ID PRODUK]],Data_Acuan!$D$4:$F$10,3,0)</f>
        <v>9000000</v>
      </c>
      <c r="H30">
        <f>Table2[[#This Row],[JUMLAH TERJUAL]]*Table2[[#This Row],[HARGA PRODUK]]</f>
        <v>9000000</v>
      </c>
      <c r="I30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0.08</v>
      </c>
      <c r="J30" t="str" cm="1">
        <f t="array" ref="J30">_xlfn.IFS(Table2[[#This Row],[HARGA TOTAL]]&gt;=20000000,"Kartu Kredit/Debit",Table2[[#This Row],[HARGA TOTAL]]&gt;=10000000,"Transfer Bank",Table2[[#This Row],[HARGA TOTAL]]&gt;=5000000,"QRIS/E-Wallet",Table2[[#This Row],[HARGA TOTAL]]&lt;=5000000,"Cash")</f>
        <v>QRIS/E-Wallet</v>
      </c>
      <c r="K30">
        <f>HLOOKUP(Table2[[#This Row],[METODE PEMBAYARAN]],Data_Acuan!$A$14:$F$15,2,0)</f>
        <v>2500</v>
      </c>
      <c r="L30">
        <f>Table2[[#This Row],[HARGA TOTAL]]*(1-Table2[[#This Row],[DISKON]])+Table2[[#This Row],[BIAYA ADMIN]]</f>
        <v>8282500</v>
      </c>
      <c r="M30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30" t="str">
        <f>IF(OR(Table2[[#This Row],[METODE PEMBAYARAN]]="QRIS/E-Wallet",Table2[[#This Row],[METODE PEMBAYARAN]]="Transfer Bank"),"Lunas",IF(Table2[[#This Row],[METODE PEMBAYARAN]]="Cash","Belum Lunas","Proses"))</f>
        <v>Lunas</v>
      </c>
    </row>
    <row r="31" spans="1:14" x14ac:dyDescent="0.3">
      <c r="A31">
        <v>45777</v>
      </c>
      <c r="B31" t="s">
        <v>23</v>
      </c>
      <c r="C31" t="str">
        <f>_xlfn.XLOOKUP(Table2[[#This Row],[ID PRODUK]],Data_Acuan!$D$5:$D$10,Data_Acuan!$B$5:$B$10,0)</f>
        <v>Logitech Mouse</v>
      </c>
      <c r="D31" t="str">
        <f>VLOOKUP(Table2[[#This Row],[ID PRODUK]],Data_Acuan!$D$4:$F$10,2,0)</f>
        <v>Aksesoris</v>
      </c>
      <c r="E31" t="s">
        <v>57</v>
      </c>
      <c r="F31">
        <v>1</v>
      </c>
      <c r="G31">
        <f>VLOOKUP(Table2[[#This Row],[ID PRODUK]],Data_Acuan!$D$4:$F$10,3,0)</f>
        <v>150000</v>
      </c>
      <c r="H31">
        <f>Table2[[#This Row],[JUMLAH TERJUAL]]*Table2[[#This Row],[HARGA PRODUK]]</f>
        <v>150000</v>
      </c>
      <c r="I31">
        <f>IF(AND(Table2[[#This Row],[NAMA PRODUK]]="Acer Aspire 5",Table2[[#This Row],[KATEGORI PRODUK]]="Laptop"),8%,IF(AND(Table2[[#This Row],[NAMA PRODUK]]="Iphone 16 128GB",Table2[[#This Row],[KATEGORI PRODUK]]="Smartphone"),6%,IF(AND(Table2[[#This Row],[NAMA PRODUK]]="AirPods Gen-2",Table2[[#This Row],[KATEGORI PRODUK]]="Aksesoris"),2%,0%)))</f>
        <v>0</v>
      </c>
      <c r="J31" t="str" cm="1">
        <f t="array" ref="J31">_xlfn.IFS(Table2[[#This Row],[HARGA TOTAL]]&gt;=20000000,"Kartu Kredit/Debit",Table2[[#This Row],[HARGA TOTAL]]&gt;=10000000,"Transfer Bank",Table2[[#This Row],[HARGA TOTAL]]&gt;=5000000,"QRIS/E-Wallet",Table2[[#This Row],[HARGA TOTAL]]&lt;=5000000,"Cash")</f>
        <v>Cash</v>
      </c>
      <c r="K31">
        <f>HLOOKUP(Table2[[#This Row],[METODE PEMBAYARAN]],Data_Acuan!$A$14:$F$15,2,0)</f>
        <v>0</v>
      </c>
      <c r="L31">
        <f>Table2[[#This Row],[HARGA TOTAL]]*(1-Table2[[#This Row],[DISKON]])+Table2[[#This Row],[BIAYA ADMIN]]</f>
        <v>150000</v>
      </c>
      <c r="M31" t="str">
        <f>IF(AND(Table2[[#This Row],[KATEGORI PRODUK]]="Laptop",Table2[[#This Row],[JUMLAH TERJUAL]]&gt;=3),"Flashdisk 16-32GB",IF(AND(Table2[[#This Row],[KATEGORI PRODUK]]="Smartphone",Table2[[#This Row],[JUMLAH TERJUAL]]&gt;=3),"Tempered Glass&amp;Kartu Perdana",IF(AND(Table2[[#This Row],[KATEGORI PRODUK]]="Aksesoris",Table2[[#This Row],[JUMLAH TERJUAL]]&gt;=3),"Merchandise Brand","-")))</f>
        <v>-</v>
      </c>
      <c r="N31" t="str">
        <f>IF(OR(Table2[[#This Row],[METODE PEMBAYARAN]]="QRIS/E-Wallet",Table2[[#This Row],[METODE PEMBAYARAN]]="Transfer Bank"),"Lunas",IF(Table2[[#This Row],[METODE PEMBAYARAN]]="Cash","Belum Lunas","Proses"))</f>
        <v>Belum Lunas</v>
      </c>
    </row>
    <row r="35" spans="1:7" x14ac:dyDescent="0.3">
      <c r="A35" s="15" t="s">
        <v>64</v>
      </c>
      <c r="E35" s="18" t="s">
        <v>80</v>
      </c>
      <c r="F35" s="18"/>
    </row>
    <row r="36" spans="1:7" x14ac:dyDescent="0.3">
      <c r="A36" s="20" t="s">
        <v>66</v>
      </c>
      <c r="B36" s="20"/>
      <c r="C36" s="20"/>
      <c r="E36" s="5" t="s">
        <v>13</v>
      </c>
      <c r="F36" s="5">
        <f>SUMIF(Table2[NAMA PRODUK],C2,Table2[JUMLAH TERJUAL])</f>
        <v>13</v>
      </c>
    </row>
    <row r="37" spans="1:7" x14ac:dyDescent="0.3">
      <c r="A37" s="20"/>
      <c r="B37" s="20"/>
      <c r="C37" s="20"/>
      <c r="E37" s="5" t="s">
        <v>14</v>
      </c>
      <c r="F37" s="5">
        <f>SUMIF(Table2[NAMA PRODUK],C29,Table2[JUMLAH TERJUAL])</f>
        <v>8</v>
      </c>
    </row>
    <row r="38" spans="1:7" x14ac:dyDescent="0.3">
      <c r="A38" s="31" t="s">
        <v>68</v>
      </c>
      <c r="B38" s="31"/>
      <c r="C38" s="31"/>
      <c r="E38" s="5" t="s">
        <v>15</v>
      </c>
      <c r="F38" s="5">
        <f>SUMIF(Table2[NAMA PRODUK],C31,Table2[JUMLAH TERJUAL])</f>
        <v>11</v>
      </c>
    </row>
    <row r="39" spans="1:7" x14ac:dyDescent="0.3">
      <c r="A39" s="20" t="s">
        <v>69</v>
      </c>
      <c r="B39" s="20"/>
      <c r="C39" s="20"/>
      <c r="E39" s="5" t="s">
        <v>17</v>
      </c>
      <c r="F39" s="5">
        <f>SUMIF(Table2[NAMA PRODUK],C24,Table2[JUMLAH TERJUAL])</f>
        <v>12</v>
      </c>
    </row>
    <row r="40" spans="1:7" x14ac:dyDescent="0.3">
      <c r="A40" s="20"/>
      <c r="B40" s="20"/>
      <c r="C40" s="20"/>
      <c r="E40" s="5" t="s">
        <v>16</v>
      </c>
      <c r="F40" s="5">
        <f>SUMIF(Table2[NAMA PRODUK],C20,Table2[JUMLAH TERJUAL])</f>
        <v>13</v>
      </c>
    </row>
    <row r="41" spans="1:7" x14ac:dyDescent="0.3">
      <c r="A41" s="20"/>
      <c r="B41" s="20"/>
      <c r="C41" s="20"/>
      <c r="E41" s="5" t="s">
        <v>67</v>
      </c>
      <c r="F41" s="5">
        <f>SUMIF(Table2[NAMA PRODUK],C13,Table2[JUMLAH TERJUAL])</f>
        <v>15</v>
      </c>
    </row>
    <row r="42" spans="1:7" x14ac:dyDescent="0.3">
      <c r="A42" s="20"/>
      <c r="B42" s="20"/>
      <c r="C42" s="20"/>
    </row>
    <row r="43" spans="1:7" x14ac:dyDescent="0.3">
      <c r="A43" s="20"/>
      <c r="B43" s="20"/>
      <c r="C43" s="20"/>
      <c r="E43" s="18" t="s">
        <v>81</v>
      </c>
      <c r="F43" s="18"/>
      <c r="G43" s="18"/>
    </row>
    <row r="44" spans="1:7" x14ac:dyDescent="0.3">
      <c r="A44" s="21" t="s">
        <v>70</v>
      </c>
      <c r="B44" s="21"/>
      <c r="C44" s="21"/>
      <c r="E44" s="16" t="s">
        <v>2</v>
      </c>
      <c r="F44" s="16" t="s">
        <v>82</v>
      </c>
      <c r="G44" s="16" t="s">
        <v>83</v>
      </c>
    </row>
    <row r="45" spans="1:7" x14ac:dyDescent="0.3">
      <c r="A45" s="21"/>
      <c r="B45" s="21"/>
      <c r="C45" s="21"/>
      <c r="E45" s="5" t="s">
        <v>13</v>
      </c>
      <c r="F45" s="5">
        <f>Data_Acuan!C5-SUMIF(Table2[NAMA PRODUK],C2,Table2[JUMLAH TERJUAL])</f>
        <v>2</v>
      </c>
      <c r="G45" s="5" t="str">
        <f>IF(F45=0,"Kosong","Tersedia")</f>
        <v>Tersedia</v>
      </c>
    </row>
    <row r="46" spans="1:7" x14ac:dyDescent="0.3">
      <c r="A46" s="21"/>
      <c r="B46" s="21"/>
      <c r="C46" s="21"/>
      <c r="E46" s="5" t="s">
        <v>14</v>
      </c>
      <c r="F46" s="5">
        <f>Data_Acuan!C6-SUMIF(Table2[NAMA PRODUK],C3,Table2[JUMLAH TERJUAL])</f>
        <v>12</v>
      </c>
      <c r="G46" s="5" t="str">
        <f t="shared" ref="G46:G50" si="0">IF(F46=0,"Kosong","Tersedia")</f>
        <v>Tersedia</v>
      </c>
    </row>
    <row r="47" spans="1:7" x14ac:dyDescent="0.3">
      <c r="A47" s="21" t="s">
        <v>71</v>
      </c>
      <c r="B47" s="21"/>
      <c r="C47" s="21"/>
      <c r="E47" s="5" t="s">
        <v>15</v>
      </c>
      <c r="F47" s="5">
        <f>Data_Acuan!C7-SUMIF(Table2[NAMA PRODUK],C21,Table2[JUMLAH TERJUAL])</f>
        <v>0</v>
      </c>
      <c r="G47" s="5" t="str">
        <f t="shared" si="0"/>
        <v>Kosong</v>
      </c>
    </row>
    <row r="48" spans="1:7" x14ac:dyDescent="0.3">
      <c r="A48" s="21" t="s">
        <v>72</v>
      </c>
      <c r="B48" s="21"/>
      <c r="C48" s="21"/>
      <c r="E48" s="5" t="s">
        <v>17</v>
      </c>
      <c r="F48" s="5">
        <f>Data_Acuan!C8-SUMIF(Table2[NAMA PRODUK],C24,Table2[JUMLAH TERJUAL])</f>
        <v>1</v>
      </c>
      <c r="G48" s="5" t="str">
        <f t="shared" si="0"/>
        <v>Tersedia</v>
      </c>
    </row>
    <row r="49" spans="1:7" x14ac:dyDescent="0.3">
      <c r="A49" s="21"/>
      <c r="B49" s="21"/>
      <c r="C49" s="21"/>
      <c r="E49" s="5" t="s">
        <v>16</v>
      </c>
      <c r="F49" s="5">
        <v>0</v>
      </c>
      <c r="G49" s="5" t="str">
        <f t="shared" si="0"/>
        <v>Kosong</v>
      </c>
    </row>
    <row r="50" spans="1:7" x14ac:dyDescent="0.3">
      <c r="A50" s="21" t="s">
        <v>77</v>
      </c>
      <c r="B50" s="21"/>
      <c r="C50" s="21"/>
      <c r="E50" s="5" t="s">
        <v>67</v>
      </c>
      <c r="F50" s="5">
        <f>Data_Acuan!C10-SUMIF(Table2[NAMA PRODUK],C13,Table2[JUMLAH TERJUAL])</f>
        <v>0</v>
      </c>
      <c r="G50" s="5" t="str">
        <f t="shared" si="0"/>
        <v>Kosong</v>
      </c>
    </row>
    <row r="51" spans="1:7" x14ac:dyDescent="0.3">
      <c r="A51" s="21"/>
      <c r="B51" s="21"/>
      <c r="C51" s="21"/>
    </row>
    <row r="52" spans="1:7" ht="15" customHeight="1" x14ac:dyDescent="0.3">
      <c r="A52" s="32" t="s">
        <v>73</v>
      </c>
      <c r="B52" s="34" t="s">
        <v>74</v>
      </c>
      <c r="C52" s="34"/>
    </row>
    <row r="53" spans="1:7" x14ac:dyDescent="0.3">
      <c r="A53" s="33"/>
      <c r="B53" s="34"/>
      <c r="C53" s="34"/>
    </row>
    <row r="54" spans="1:7" ht="15" customHeight="1" x14ac:dyDescent="0.3">
      <c r="A54" s="32" t="s">
        <v>73</v>
      </c>
      <c r="B54" s="34" t="s">
        <v>75</v>
      </c>
      <c r="C54" s="34"/>
    </row>
    <row r="55" spans="1:7" x14ac:dyDescent="0.3">
      <c r="A55" s="33"/>
      <c r="B55" s="34"/>
      <c r="C55" s="34"/>
    </row>
    <row r="56" spans="1:7" x14ac:dyDescent="0.3">
      <c r="A56" s="32" t="s">
        <v>73</v>
      </c>
      <c r="B56" s="19" t="s">
        <v>76</v>
      </c>
      <c r="C56" s="19"/>
    </row>
    <row r="57" spans="1:7" x14ac:dyDescent="0.3">
      <c r="A57" s="33"/>
      <c r="B57" s="19"/>
      <c r="C57" s="19"/>
    </row>
    <row r="58" spans="1:7" x14ac:dyDescent="0.3">
      <c r="A58" s="20" t="s">
        <v>78</v>
      </c>
      <c r="B58" s="20"/>
      <c r="C58" s="20"/>
    </row>
    <row r="59" spans="1:7" x14ac:dyDescent="0.3">
      <c r="A59" s="20"/>
      <c r="B59" s="20"/>
      <c r="C59" s="20"/>
    </row>
    <row r="60" spans="1:7" x14ac:dyDescent="0.3">
      <c r="A60" s="21" t="s">
        <v>84</v>
      </c>
      <c r="B60" s="21"/>
      <c r="C60" s="21"/>
    </row>
    <row r="61" spans="1:7" x14ac:dyDescent="0.3">
      <c r="A61" s="21"/>
      <c r="B61" s="21"/>
      <c r="C61" s="21"/>
    </row>
    <row r="62" spans="1:7" x14ac:dyDescent="0.3">
      <c r="A62" s="21"/>
      <c r="B62" s="21"/>
      <c r="C62" s="21"/>
    </row>
    <row r="63" spans="1:7" x14ac:dyDescent="0.3">
      <c r="A63" s="17" t="s">
        <v>85</v>
      </c>
      <c r="B63" s="17"/>
      <c r="C63" s="17"/>
    </row>
    <row r="64" spans="1:7" x14ac:dyDescent="0.3">
      <c r="A64" s="22" t="s">
        <v>88</v>
      </c>
      <c r="B64" s="23"/>
      <c r="C64" s="24"/>
    </row>
    <row r="65" spans="1:3" x14ac:dyDescent="0.3">
      <c r="A65" s="25"/>
      <c r="B65" s="26"/>
      <c r="C65" s="27"/>
    </row>
    <row r="66" spans="1:3" x14ac:dyDescent="0.3">
      <c r="A66" s="28"/>
      <c r="B66" s="29"/>
      <c r="C66" s="30"/>
    </row>
    <row r="67" spans="1:3" x14ac:dyDescent="0.3">
      <c r="A67" s="31" t="s">
        <v>86</v>
      </c>
      <c r="B67" s="31"/>
      <c r="C67" s="31"/>
    </row>
    <row r="68" spans="1:3" x14ac:dyDescent="0.3">
      <c r="A68" s="31" t="s">
        <v>87</v>
      </c>
      <c r="B68" s="31"/>
      <c r="C68" s="31"/>
    </row>
  </sheetData>
  <mergeCells count="20">
    <mergeCell ref="A64:C66"/>
    <mergeCell ref="A67:C67"/>
    <mergeCell ref="A68:C68"/>
    <mergeCell ref="A36:C37"/>
    <mergeCell ref="A38:C38"/>
    <mergeCell ref="A39:C43"/>
    <mergeCell ref="A44:C46"/>
    <mergeCell ref="A47:C47"/>
    <mergeCell ref="A52:A53"/>
    <mergeCell ref="A54:A55"/>
    <mergeCell ref="A56:A57"/>
    <mergeCell ref="A50:C51"/>
    <mergeCell ref="B52:C53"/>
    <mergeCell ref="B54:C55"/>
    <mergeCell ref="A48:C49"/>
    <mergeCell ref="E35:F35"/>
    <mergeCell ref="E43:G43"/>
    <mergeCell ref="B56:C57"/>
    <mergeCell ref="A58:C59"/>
    <mergeCell ref="A60:C62"/>
  </mergeCells>
  <conditionalFormatting sqref="F36:F4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{21C1E5F9-758B-4FCE-AED8-EBB2B11E72BD}</x14:id>
        </ext>
      </extLst>
    </cfRule>
  </conditionalFormatting>
  <conditionalFormatting sqref="F45:G50">
    <cfRule type="cellIs" dxfId="4" priority="2" operator="greaterThan">
      <formula>0</formula>
    </cfRule>
    <cfRule type="cellIs" dxfId="3" priority="3" operator="equal">
      <formula>0</formula>
    </cfRule>
  </conditionalFormatting>
  <conditionalFormatting sqref="G45:G50">
    <cfRule type="cellIs" dxfId="0" priority="1" operator="equal">
      <formula>"Kosong"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C1E5F9-758B-4FCE-AED8-EBB2B11E7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F36:F41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8"/>
  <sheetViews>
    <sheetView zoomScale="80" zoomScaleNormal="80" workbookViewId="0">
      <pane xSplit="3" ySplit="10" topLeftCell="D36" activePane="bottomRight" state="frozen"/>
      <selection pane="topRight" activeCell="D1" sqref="D1"/>
      <selection pane="bottomLeft" activeCell="A11" sqref="A11"/>
      <selection pane="bottomRight" activeCell="G45" sqref="G45"/>
    </sheetView>
  </sheetViews>
  <sheetFormatPr defaultRowHeight="14.4" x14ac:dyDescent="0.3"/>
  <cols>
    <col min="1" max="1" width="22.88671875" customWidth="1"/>
    <col min="2" max="2" width="16.44140625" customWidth="1"/>
    <col min="3" max="3" width="18.5546875" customWidth="1"/>
    <col min="4" max="4" width="25" bestFit="1" customWidth="1"/>
    <col min="5" max="5" width="20.6640625" customWidth="1"/>
    <col min="6" max="6" width="19" customWidth="1"/>
    <col min="7" max="7" width="18.33203125" customWidth="1"/>
    <col min="8" max="8" width="18.109375" bestFit="1" customWidth="1"/>
    <col min="9" max="9" width="10.33203125" customWidth="1"/>
    <col min="10" max="10" width="24.33203125" customWidth="1"/>
    <col min="11" max="11" width="15.5546875" customWidth="1"/>
    <col min="12" max="12" width="23" customWidth="1"/>
    <col min="13" max="13" width="34.21875" bestFit="1" customWidth="1"/>
    <col min="14" max="14" width="23.44140625" customWidth="1"/>
  </cols>
  <sheetData>
    <row r="1" spans="1:14" ht="15" customHeight="1" x14ac:dyDescent="0.3">
      <c r="A1" s="9" t="s">
        <v>63</v>
      </c>
      <c r="B1" s="9" t="s">
        <v>1</v>
      </c>
      <c r="C1" s="9" t="s">
        <v>2</v>
      </c>
      <c r="D1" s="9" t="s">
        <v>65</v>
      </c>
      <c r="E1" s="9" t="s">
        <v>27</v>
      </c>
      <c r="F1" s="9" t="s">
        <v>4</v>
      </c>
      <c r="G1" s="9" t="s">
        <v>5</v>
      </c>
      <c r="H1" s="9" t="s">
        <v>62</v>
      </c>
      <c r="I1" s="9" t="s">
        <v>6</v>
      </c>
      <c r="J1" s="9" t="s">
        <v>3</v>
      </c>
      <c r="K1" s="9" t="s">
        <v>7</v>
      </c>
      <c r="L1" s="9" t="s">
        <v>8</v>
      </c>
      <c r="M1" s="9" t="s">
        <v>9</v>
      </c>
      <c r="N1" s="9" t="s">
        <v>10</v>
      </c>
    </row>
    <row r="2" spans="1:14" x14ac:dyDescent="0.3">
      <c r="A2" s="2">
        <v>45748</v>
      </c>
      <c r="B2" t="s">
        <v>21</v>
      </c>
      <c r="C2" s="1" t="str">
        <f>INDEX(Data_Acuan!$A$5:$F$10,MATCH(Jawaban!B2,Data_Acuan!$D$5:$D$10,0),2)</f>
        <v>Lenovo Idepad</v>
      </c>
      <c r="D2" s="1" t="str">
        <f>INDEX(Data_Acuan!$A$5:$F$10,MATCH(Jawaban!B2,Data_Acuan!$D$5:$D$10,0),5)</f>
        <v>Laptop</v>
      </c>
      <c r="E2" s="1" t="s">
        <v>28</v>
      </c>
      <c r="F2" s="9">
        <v>1</v>
      </c>
      <c r="G2" s="11">
        <f>INDEX(Data_Acuan!$A$5:$F$10,MATCH(Jawaban!B2,Data_Acuan!$D$5:$D$10,0),6)</f>
        <v>8500000</v>
      </c>
      <c r="H2" s="12">
        <f t="shared" ref="H2:H31" si="0">F2*G2</f>
        <v>8500000</v>
      </c>
      <c r="I2" s="14">
        <f t="shared" ref="I2:I31" si="1">IF(AND(D2="Laptop",C2="Acer Aspire 5"),8%,IF(AND(D2="Smartphone",C2="Iphone 16 128GB"),6%,IF(AND(D2="Aksesoris",C2="AirPods Gen-2"),3%,0%)))</f>
        <v>0</v>
      </c>
      <c r="J2" s="1" t="str">
        <f t="shared" ref="J2:J31" si="2">IF(H2&gt;=20000000,"Kartu Kredit/Debit",IF(H2&gt;=10000000,"Transfer Bank",IF(H2&gt;=5000000,"QRIS/E-Wallet","Cash")))</f>
        <v>QRIS/E-Wallet</v>
      </c>
      <c r="K2" s="11">
        <f>HLOOKUP(J2,Data_Acuan!$C$14:$F$15,2,0)</f>
        <v>2500</v>
      </c>
      <c r="L2" s="11">
        <f t="shared" ref="L2:L31" si="3">H2*(1-I2)+K2</f>
        <v>8502500</v>
      </c>
      <c r="M2" s="13" t="str">
        <f t="shared" ref="M2:M31" si="4">IF(AND(D2="Laptop",F2&gt;=3),"Flashdisk 16GB-32GB",IF(AND(D2="Smartphone",F2&gt;=3),"Tempered Glass &amp; Kartu Perdana",IF(AND(D2="Aksesoris",F2&gt;=3),"Merchandise Brand","-")))</f>
        <v>-</v>
      </c>
      <c r="N2" s="1" t="str">
        <f t="shared" ref="N2:N31" si="5">IF(OR(J2="Transfer Bank",J2="QRIS/E-Wallet"),"Lunas","Belum Bayar")</f>
        <v>Lunas</v>
      </c>
    </row>
    <row r="3" spans="1:14" x14ac:dyDescent="0.3">
      <c r="A3" s="3">
        <v>45749</v>
      </c>
      <c r="B3" t="s">
        <v>22</v>
      </c>
      <c r="C3" s="1" t="str">
        <f>INDEX(Data_Acuan!$A$5:$F$10,MATCH(Jawaban!B3,Data_Acuan!$D$5:$D$10,0),2)</f>
        <v>Acer Aspire 5</v>
      </c>
      <c r="D3" s="1" t="str">
        <f>INDEX(Data_Acuan!$A$5:$F$10,MATCH(Jawaban!B3,Data_Acuan!$D$5:$D$10,0),5)</f>
        <v>Laptop</v>
      </c>
      <c r="E3" t="s">
        <v>29</v>
      </c>
      <c r="F3" s="4">
        <v>2</v>
      </c>
      <c r="G3" s="11">
        <f>INDEX(Data_Acuan!$A$5:$F$10,MATCH(Jawaban!B3,Data_Acuan!$D$5:$D$10,0),6)</f>
        <v>9000000</v>
      </c>
      <c r="H3" s="12">
        <f t="shared" si="0"/>
        <v>18000000</v>
      </c>
      <c r="I3" s="14">
        <f t="shared" si="1"/>
        <v>0.08</v>
      </c>
      <c r="J3" s="1" t="str">
        <f t="shared" si="2"/>
        <v>Transfer Bank</v>
      </c>
      <c r="K3" s="11">
        <f>HLOOKUP(J3,Data_Acuan!$C$14:$F$15,2,0)</f>
        <v>6500</v>
      </c>
      <c r="L3" s="11">
        <f t="shared" si="3"/>
        <v>16566500</v>
      </c>
      <c r="M3" s="13" t="str">
        <f t="shared" si="4"/>
        <v>-</v>
      </c>
      <c r="N3" s="1" t="str">
        <f t="shared" si="5"/>
        <v>Lunas</v>
      </c>
    </row>
    <row r="4" spans="1:14" x14ac:dyDescent="0.3">
      <c r="A4" s="3">
        <v>45750</v>
      </c>
      <c r="B4" t="s">
        <v>23</v>
      </c>
      <c r="C4" s="1" t="str">
        <f>INDEX(Data_Acuan!$A$5:$F$10,MATCH(Jawaban!B4,Data_Acuan!$D$5:$D$10,0),2)</f>
        <v>Logitech Mouse</v>
      </c>
      <c r="D4" s="1" t="str">
        <f>INDEX(Data_Acuan!$A$5:$F$10,MATCH(Jawaban!B4,Data_Acuan!$D$5:$D$10,0),5)</f>
        <v>Aksesoris</v>
      </c>
      <c r="E4" t="s">
        <v>30</v>
      </c>
      <c r="F4" s="4">
        <v>3</v>
      </c>
      <c r="G4" s="11">
        <f>INDEX(Data_Acuan!$A$5:$F$10,MATCH(Jawaban!B4,Data_Acuan!$D$5:$D$10,0),6)</f>
        <v>150000</v>
      </c>
      <c r="H4" s="12">
        <f t="shared" si="0"/>
        <v>450000</v>
      </c>
      <c r="I4" s="14">
        <f t="shared" si="1"/>
        <v>0</v>
      </c>
      <c r="J4" s="1" t="str">
        <f t="shared" si="2"/>
        <v>Cash</v>
      </c>
      <c r="K4" s="11">
        <f>HLOOKUP(J4,Data_Acuan!$C$14:$F$15,2,0)</f>
        <v>0</v>
      </c>
      <c r="L4" s="11">
        <f t="shared" si="3"/>
        <v>450000</v>
      </c>
      <c r="M4" s="13" t="str">
        <f t="shared" si="4"/>
        <v>Merchandise Brand</v>
      </c>
      <c r="N4" s="1" t="str">
        <f t="shared" si="5"/>
        <v>Belum Bayar</v>
      </c>
    </row>
    <row r="5" spans="1:14" x14ac:dyDescent="0.3">
      <c r="A5" s="3">
        <v>45755</v>
      </c>
      <c r="B5" t="s">
        <v>24</v>
      </c>
      <c r="C5" s="1" t="str">
        <f>INDEX(Data_Acuan!$A$5:$F$10,MATCH(Jawaban!B5,Data_Acuan!$D$5:$D$10,0),2)</f>
        <v>AirPods Gen-2</v>
      </c>
      <c r="D5" s="1" t="str">
        <f>INDEX(Data_Acuan!$A$5:$F$10,MATCH(Jawaban!B5,Data_Acuan!$D$5:$D$10,0),5)</f>
        <v>Aksesoris</v>
      </c>
      <c r="E5" t="s">
        <v>31</v>
      </c>
      <c r="F5" s="4">
        <v>4</v>
      </c>
      <c r="G5" s="11">
        <f>INDEX(Data_Acuan!$A$5:$F$10,MATCH(Jawaban!B5,Data_Acuan!$D$5:$D$10,0),6)</f>
        <v>1899000</v>
      </c>
      <c r="H5" s="12">
        <f t="shared" si="0"/>
        <v>7596000</v>
      </c>
      <c r="I5" s="14">
        <f t="shared" si="1"/>
        <v>0.03</v>
      </c>
      <c r="J5" s="1" t="str">
        <f t="shared" si="2"/>
        <v>QRIS/E-Wallet</v>
      </c>
      <c r="K5" s="11">
        <f>HLOOKUP(J5,Data_Acuan!$C$14:$F$15,2,0)</f>
        <v>2500</v>
      </c>
      <c r="L5" s="11">
        <f t="shared" si="3"/>
        <v>7370620</v>
      </c>
      <c r="M5" s="13" t="str">
        <f t="shared" si="4"/>
        <v>Merchandise Brand</v>
      </c>
      <c r="N5" s="1" t="str">
        <f t="shared" si="5"/>
        <v>Lunas</v>
      </c>
    </row>
    <row r="6" spans="1:14" x14ac:dyDescent="0.3">
      <c r="A6" s="3">
        <v>45755</v>
      </c>
      <c r="B6" t="s">
        <v>25</v>
      </c>
      <c r="C6" s="1" t="str">
        <f>INDEX(Data_Acuan!$A$5:$F$10,MATCH(Jawaban!B6,Data_Acuan!$D$5:$D$10,0),2)</f>
        <v>Samsung A15</v>
      </c>
      <c r="D6" s="1" t="str">
        <f>INDEX(Data_Acuan!$A$5:$F$10,MATCH(Jawaban!B6,Data_Acuan!$D$5:$D$10,0),5)</f>
        <v>Smartphone</v>
      </c>
      <c r="E6" t="s">
        <v>32</v>
      </c>
      <c r="F6" s="4">
        <v>5</v>
      </c>
      <c r="G6" s="11">
        <f>INDEX(Data_Acuan!$A$5:$F$10,MATCH(Jawaban!B6,Data_Acuan!$D$5:$D$10,0),6)</f>
        <v>2200000</v>
      </c>
      <c r="H6" s="12">
        <f t="shared" si="0"/>
        <v>11000000</v>
      </c>
      <c r="I6" s="14">
        <f t="shared" si="1"/>
        <v>0</v>
      </c>
      <c r="J6" s="1" t="str">
        <f t="shared" si="2"/>
        <v>Transfer Bank</v>
      </c>
      <c r="K6" s="11">
        <f>HLOOKUP(J6,Data_Acuan!$C$14:$F$15,2,0)</f>
        <v>6500</v>
      </c>
      <c r="L6" s="11">
        <f t="shared" si="3"/>
        <v>11006500</v>
      </c>
      <c r="M6" s="13" t="str">
        <f t="shared" si="4"/>
        <v>Tempered Glass &amp; Kartu Perdana</v>
      </c>
      <c r="N6" s="1" t="str">
        <f t="shared" si="5"/>
        <v>Lunas</v>
      </c>
    </row>
    <row r="7" spans="1:14" x14ac:dyDescent="0.3">
      <c r="A7" s="3">
        <v>45755</v>
      </c>
      <c r="B7" t="s">
        <v>26</v>
      </c>
      <c r="C7" s="1" t="str">
        <f>INDEX(Data_Acuan!$A$5:$F$10,MATCH(Jawaban!B7,Data_Acuan!$D$5:$D$10,0),2)</f>
        <v>Iphone 16 128GB</v>
      </c>
      <c r="D7" s="1" t="str">
        <f>INDEX(Data_Acuan!$A$5:$F$10,MATCH(Jawaban!B7,Data_Acuan!$D$5:$D$10,0),5)</f>
        <v>Smartphone</v>
      </c>
      <c r="E7" t="s">
        <v>33</v>
      </c>
      <c r="F7" s="4">
        <v>6</v>
      </c>
      <c r="G7" s="11">
        <f>INDEX(Data_Acuan!$A$5:$F$10,MATCH(Jawaban!B7,Data_Acuan!$D$5:$D$10,0),6)</f>
        <v>14999000</v>
      </c>
      <c r="H7" s="12">
        <f t="shared" si="0"/>
        <v>89994000</v>
      </c>
      <c r="I7" s="14">
        <f t="shared" si="1"/>
        <v>0.06</v>
      </c>
      <c r="J7" s="1" t="str">
        <f t="shared" si="2"/>
        <v>Kartu Kredit/Debit</v>
      </c>
      <c r="K7" s="11">
        <f>HLOOKUP(J7,Data_Acuan!$C$14:$F$15,2,0)</f>
        <v>5000</v>
      </c>
      <c r="L7" s="11">
        <f t="shared" si="3"/>
        <v>84599360</v>
      </c>
      <c r="M7" s="13" t="str">
        <f t="shared" si="4"/>
        <v>Tempered Glass &amp; Kartu Perdana</v>
      </c>
      <c r="N7" s="1" t="str">
        <f t="shared" si="5"/>
        <v>Belum Bayar</v>
      </c>
    </row>
    <row r="8" spans="1:14" x14ac:dyDescent="0.3">
      <c r="A8" s="3">
        <v>45758</v>
      </c>
      <c r="B8" t="s">
        <v>26</v>
      </c>
      <c r="C8" s="1" t="str">
        <f>INDEX(Data_Acuan!$A$5:$F$10,MATCH(Jawaban!B8,Data_Acuan!$D$5:$D$10,0),2)</f>
        <v>Iphone 16 128GB</v>
      </c>
      <c r="D8" s="1" t="str">
        <f>INDEX(Data_Acuan!$A$5:$F$10,MATCH(Jawaban!B8,Data_Acuan!$D$5:$D$10,0),5)</f>
        <v>Smartphone</v>
      </c>
      <c r="E8" t="s">
        <v>34</v>
      </c>
      <c r="F8" s="4">
        <v>5</v>
      </c>
      <c r="G8" s="11">
        <f>INDEX(Data_Acuan!$A$5:$F$10,MATCH(Jawaban!B8,Data_Acuan!$D$5:$D$10,0),6)</f>
        <v>14999000</v>
      </c>
      <c r="H8" s="12">
        <f t="shared" si="0"/>
        <v>74995000</v>
      </c>
      <c r="I8" s="14">
        <f t="shared" si="1"/>
        <v>0.06</v>
      </c>
      <c r="J8" s="1" t="str">
        <f t="shared" si="2"/>
        <v>Kartu Kredit/Debit</v>
      </c>
      <c r="K8" s="11">
        <f>HLOOKUP(J8,Data_Acuan!$C$14:$F$15,2,0)</f>
        <v>5000</v>
      </c>
      <c r="L8" s="11">
        <f t="shared" si="3"/>
        <v>70500300</v>
      </c>
      <c r="M8" s="13" t="str">
        <f t="shared" si="4"/>
        <v>Tempered Glass &amp; Kartu Perdana</v>
      </c>
      <c r="N8" s="1" t="str">
        <f t="shared" si="5"/>
        <v>Belum Bayar</v>
      </c>
    </row>
    <row r="9" spans="1:14" x14ac:dyDescent="0.3">
      <c r="A9" s="3">
        <v>45759</v>
      </c>
      <c r="B9" t="s">
        <v>22</v>
      </c>
      <c r="C9" s="1" t="str">
        <f>INDEX(Data_Acuan!$A$5:$F$10,MATCH(Jawaban!B9,Data_Acuan!$D$5:$D$10,0),2)</f>
        <v>Acer Aspire 5</v>
      </c>
      <c r="D9" s="1" t="str">
        <f>INDEX(Data_Acuan!$A$5:$F$10,MATCH(Jawaban!B9,Data_Acuan!$D$5:$D$10,0),5)</f>
        <v>Laptop</v>
      </c>
      <c r="E9" t="s">
        <v>35</v>
      </c>
      <c r="F9" s="4">
        <v>3</v>
      </c>
      <c r="G9" s="11">
        <f>INDEX(Data_Acuan!$A$5:$F$10,MATCH(Jawaban!B9,Data_Acuan!$D$5:$D$10,0),6)</f>
        <v>9000000</v>
      </c>
      <c r="H9" s="12">
        <f t="shared" si="0"/>
        <v>27000000</v>
      </c>
      <c r="I9" s="14">
        <f t="shared" si="1"/>
        <v>0.08</v>
      </c>
      <c r="J9" s="1" t="str">
        <f t="shared" si="2"/>
        <v>Kartu Kredit/Debit</v>
      </c>
      <c r="K9" s="11">
        <f>HLOOKUP(J9,Data_Acuan!$C$14:$F$15,2,0)</f>
        <v>5000</v>
      </c>
      <c r="L9" s="11">
        <f t="shared" si="3"/>
        <v>24845000</v>
      </c>
      <c r="M9" s="13" t="str">
        <f t="shared" si="4"/>
        <v>Flashdisk 16GB-32GB</v>
      </c>
      <c r="N9" s="1" t="str">
        <f t="shared" si="5"/>
        <v>Belum Bayar</v>
      </c>
    </row>
    <row r="10" spans="1:14" x14ac:dyDescent="0.3">
      <c r="A10" s="3">
        <v>45760</v>
      </c>
      <c r="B10" t="s">
        <v>23</v>
      </c>
      <c r="C10" s="1" t="str">
        <f>INDEX(Data_Acuan!$A$5:$F$10,MATCH(Jawaban!B10,Data_Acuan!$D$5:$D$10,0),2)</f>
        <v>Logitech Mouse</v>
      </c>
      <c r="D10" s="1" t="str">
        <f>INDEX(Data_Acuan!$A$5:$F$10,MATCH(Jawaban!B10,Data_Acuan!$D$5:$D$10,0),5)</f>
        <v>Aksesoris</v>
      </c>
      <c r="E10" t="s">
        <v>36</v>
      </c>
      <c r="F10" s="4">
        <v>2</v>
      </c>
      <c r="G10" s="11">
        <f>INDEX(Data_Acuan!$A$5:$F$10,MATCH(Jawaban!B10,Data_Acuan!$D$5:$D$10,0),6)</f>
        <v>150000</v>
      </c>
      <c r="H10" s="12">
        <f t="shared" si="0"/>
        <v>300000</v>
      </c>
      <c r="I10" s="14">
        <f t="shared" si="1"/>
        <v>0</v>
      </c>
      <c r="J10" s="1" t="str">
        <f t="shared" si="2"/>
        <v>Cash</v>
      </c>
      <c r="K10" s="11">
        <f>HLOOKUP(J10,Data_Acuan!$C$14:$F$15,2,0)</f>
        <v>0</v>
      </c>
      <c r="L10" s="11">
        <f t="shared" si="3"/>
        <v>300000</v>
      </c>
      <c r="M10" s="13" t="str">
        <f t="shared" si="4"/>
        <v>-</v>
      </c>
      <c r="N10" s="1" t="str">
        <f t="shared" si="5"/>
        <v>Belum Bayar</v>
      </c>
    </row>
    <row r="11" spans="1:14" x14ac:dyDescent="0.3">
      <c r="A11" s="3">
        <v>45763</v>
      </c>
      <c r="B11" t="s">
        <v>24</v>
      </c>
      <c r="C11" s="1" t="str">
        <f>INDEX(Data_Acuan!$A$5:$F$10,MATCH(Jawaban!B11,Data_Acuan!$D$5:$D$10,0),2)</f>
        <v>AirPods Gen-2</v>
      </c>
      <c r="D11" s="1" t="str">
        <f>INDEX(Data_Acuan!$A$5:$F$10,MATCH(Jawaban!B11,Data_Acuan!$D$5:$D$10,0),5)</f>
        <v>Aksesoris</v>
      </c>
      <c r="E11" t="s">
        <v>37</v>
      </c>
      <c r="F11" s="4">
        <v>2</v>
      </c>
      <c r="G11" s="11">
        <f>INDEX(Data_Acuan!$A$5:$F$10,MATCH(Jawaban!B11,Data_Acuan!$D$5:$D$10,0),6)</f>
        <v>1899000</v>
      </c>
      <c r="H11" s="12">
        <f t="shared" si="0"/>
        <v>3798000</v>
      </c>
      <c r="I11" s="14">
        <f t="shared" si="1"/>
        <v>0.03</v>
      </c>
      <c r="J11" s="1" t="str">
        <f t="shared" si="2"/>
        <v>Cash</v>
      </c>
      <c r="K11" s="11">
        <f>HLOOKUP(J11,Data_Acuan!$C$14:$F$15,2,0)</f>
        <v>0</v>
      </c>
      <c r="L11" s="11">
        <f t="shared" si="3"/>
        <v>3684060</v>
      </c>
      <c r="M11" s="13" t="str">
        <f t="shared" si="4"/>
        <v>-</v>
      </c>
      <c r="N11" s="1" t="str">
        <f t="shared" si="5"/>
        <v>Belum Bayar</v>
      </c>
    </row>
    <row r="12" spans="1:14" x14ac:dyDescent="0.3">
      <c r="A12" s="3">
        <v>45763</v>
      </c>
      <c r="B12" t="s">
        <v>26</v>
      </c>
      <c r="C12" s="1" t="str">
        <f>INDEX(Data_Acuan!$A$5:$F$10,MATCH(Jawaban!B12,Data_Acuan!$D$5:$D$10,0),2)</f>
        <v>Iphone 16 128GB</v>
      </c>
      <c r="D12" s="1" t="str">
        <f>INDEX(Data_Acuan!$A$5:$F$10,MATCH(Jawaban!B12,Data_Acuan!$D$5:$D$10,0),5)</f>
        <v>Smartphone</v>
      </c>
      <c r="E12" t="s">
        <v>38</v>
      </c>
      <c r="F12" s="4">
        <v>1</v>
      </c>
      <c r="G12" s="11">
        <f>INDEX(Data_Acuan!$A$5:$F$10,MATCH(Jawaban!B12,Data_Acuan!$D$5:$D$10,0),6)</f>
        <v>14999000</v>
      </c>
      <c r="H12" s="12">
        <f t="shared" si="0"/>
        <v>14999000</v>
      </c>
      <c r="I12" s="14">
        <f t="shared" si="1"/>
        <v>0.06</v>
      </c>
      <c r="J12" s="1" t="str">
        <f t="shared" si="2"/>
        <v>Transfer Bank</v>
      </c>
      <c r="K12" s="11">
        <f>HLOOKUP(J12,Data_Acuan!$C$14:$F$15,2,0)</f>
        <v>6500</v>
      </c>
      <c r="L12" s="11">
        <f t="shared" si="3"/>
        <v>14105560</v>
      </c>
      <c r="M12" s="13" t="str">
        <f t="shared" si="4"/>
        <v>-</v>
      </c>
      <c r="N12" s="1" t="str">
        <f t="shared" si="5"/>
        <v>Lunas</v>
      </c>
    </row>
    <row r="13" spans="1:14" x14ac:dyDescent="0.3">
      <c r="A13" s="3">
        <v>45764</v>
      </c>
      <c r="B13" t="s">
        <v>26</v>
      </c>
      <c r="C13" s="1" t="str">
        <f>INDEX(Data_Acuan!$A$5:$F$10,MATCH(Jawaban!B13,Data_Acuan!$D$5:$D$10,0),2)</f>
        <v>Iphone 16 128GB</v>
      </c>
      <c r="D13" s="1" t="str">
        <f>INDEX(Data_Acuan!$A$5:$F$10,MATCH(Jawaban!B13,Data_Acuan!$D$5:$D$10,0),5)</f>
        <v>Smartphone</v>
      </c>
      <c r="E13" t="s">
        <v>39</v>
      </c>
      <c r="F13" s="4">
        <v>2</v>
      </c>
      <c r="G13" s="11">
        <f>INDEX(Data_Acuan!$A$5:$F$10,MATCH(Jawaban!B13,Data_Acuan!$D$5:$D$10,0),6)</f>
        <v>14999000</v>
      </c>
      <c r="H13" s="12">
        <f t="shared" si="0"/>
        <v>29998000</v>
      </c>
      <c r="I13" s="14">
        <f t="shared" si="1"/>
        <v>0.06</v>
      </c>
      <c r="J13" s="1" t="str">
        <f t="shared" si="2"/>
        <v>Kartu Kredit/Debit</v>
      </c>
      <c r="K13" s="11">
        <f>HLOOKUP(J13,Data_Acuan!$C$14:$F$15,2,0)</f>
        <v>5000</v>
      </c>
      <c r="L13" s="11">
        <f t="shared" si="3"/>
        <v>28203120</v>
      </c>
      <c r="M13" s="13" t="str">
        <f t="shared" si="4"/>
        <v>-</v>
      </c>
      <c r="N13" s="1" t="str">
        <f t="shared" si="5"/>
        <v>Belum Bayar</v>
      </c>
    </row>
    <row r="14" spans="1:14" x14ac:dyDescent="0.3">
      <c r="A14" s="3">
        <v>45765</v>
      </c>
      <c r="B14" t="s">
        <v>21</v>
      </c>
      <c r="C14" s="1" t="str">
        <f>INDEX(Data_Acuan!$A$5:$F$10,MATCH(Jawaban!B14,Data_Acuan!$D$5:$D$10,0),2)</f>
        <v>Lenovo Idepad</v>
      </c>
      <c r="D14" s="1" t="str">
        <f>INDEX(Data_Acuan!$A$5:$F$10,MATCH(Jawaban!B14,Data_Acuan!$D$5:$D$10,0),5)</f>
        <v>Laptop</v>
      </c>
      <c r="E14" t="s">
        <v>40</v>
      </c>
      <c r="F14" s="4">
        <v>1</v>
      </c>
      <c r="G14" s="11">
        <f>INDEX(Data_Acuan!$A$5:$F$10,MATCH(Jawaban!B14,Data_Acuan!$D$5:$D$10,0),6)</f>
        <v>8500000</v>
      </c>
      <c r="H14" s="12">
        <f t="shared" si="0"/>
        <v>8500000</v>
      </c>
      <c r="I14" s="14">
        <f t="shared" si="1"/>
        <v>0</v>
      </c>
      <c r="J14" s="1" t="str">
        <f t="shared" si="2"/>
        <v>QRIS/E-Wallet</v>
      </c>
      <c r="K14" s="11">
        <f>HLOOKUP(J14,Data_Acuan!$C$14:$F$15,2,0)</f>
        <v>2500</v>
      </c>
      <c r="L14" s="11">
        <f t="shared" si="3"/>
        <v>8502500</v>
      </c>
      <c r="M14" s="13" t="str">
        <f t="shared" si="4"/>
        <v>-</v>
      </c>
      <c r="N14" s="1" t="str">
        <f t="shared" si="5"/>
        <v>Lunas</v>
      </c>
    </row>
    <row r="15" spans="1:14" x14ac:dyDescent="0.3">
      <c r="A15" s="3">
        <v>45766</v>
      </c>
      <c r="B15" t="s">
        <v>23</v>
      </c>
      <c r="C15" s="1" t="str">
        <f>INDEX(Data_Acuan!$A$5:$F$10,MATCH(Jawaban!B15,Data_Acuan!$D$5:$D$10,0),2)</f>
        <v>Logitech Mouse</v>
      </c>
      <c r="D15" s="1" t="str">
        <f>INDEX(Data_Acuan!$A$5:$F$10,MATCH(Jawaban!B15,Data_Acuan!$D$5:$D$10,0),5)</f>
        <v>Aksesoris</v>
      </c>
      <c r="E15" t="s">
        <v>41</v>
      </c>
      <c r="F15" s="4">
        <v>1</v>
      </c>
      <c r="G15" s="11">
        <f>INDEX(Data_Acuan!$A$5:$F$10,MATCH(Jawaban!B15,Data_Acuan!$D$5:$D$10,0),6)</f>
        <v>150000</v>
      </c>
      <c r="H15" s="12">
        <f t="shared" si="0"/>
        <v>150000</v>
      </c>
      <c r="I15" s="14">
        <f t="shared" si="1"/>
        <v>0</v>
      </c>
      <c r="J15" s="1" t="str">
        <f t="shared" si="2"/>
        <v>Cash</v>
      </c>
      <c r="K15" s="11">
        <f>HLOOKUP(J15,Data_Acuan!$C$14:$F$15,2,0)</f>
        <v>0</v>
      </c>
      <c r="L15" s="11">
        <f t="shared" si="3"/>
        <v>150000</v>
      </c>
      <c r="M15" s="13" t="str">
        <f t="shared" si="4"/>
        <v>-</v>
      </c>
      <c r="N15" s="1" t="str">
        <f t="shared" si="5"/>
        <v>Belum Bayar</v>
      </c>
    </row>
    <row r="16" spans="1:14" x14ac:dyDescent="0.3">
      <c r="A16" s="3">
        <v>45766</v>
      </c>
      <c r="B16" t="s">
        <v>21</v>
      </c>
      <c r="C16" s="1" t="str">
        <f>INDEX(Data_Acuan!$A$5:$F$10,MATCH(Jawaban!B16,Data_Acuan!$D$5:$D$10,0),2)</f>
        <v>Lenovo Idepad</v>
      </c>
      <c r="D16" s="1" t="str">
        <f>INDEX(Data_Acuan!$A$5:$F$10,MATCH(Jawaban!B16,Data_Acuan!$D$5:$D$10,0),5)</f>
        <v>Laptop</v>
      </c>
      <c r="E16" t="s">
        <v>42</v>
      </c>
      <c r="F16" s="4">
        <v>1</v>
      </c>
      <c r="G16" s="11">
        <f>INDEX(Data_Acuan!$A$5:$F$10,MATCH(Jawaban!B16,Data_Acuan!$D$5:$D$10,0),6)</f>
        <v>8500000</v>
      </c>
      <c r="H16" s="12">
        <f t="shared" si="0"/>
        <v>8500000</v>
      </c>
      <c r="I16" s="14">
        <f t="shared" si="1"/>
        <v>0</v>
      </c>
      <c r="J16" s="1" t="str">
        <f t="shared" si="2"/>
        <v>QRIS/E-Wallet</v>
      </c>
      <c r="K16" s="11">
        <f>HLOOKUP(J16,Data_Acuan!$C$14:$F$15,2,0)</f>
        <v>2500</v>
      </c>
      <c r="L16" s="11">
        <f t="shared" si="3"/>
        <v>8502500</v>
      </c>
      <c r="M16" s="13" t="str">
        <f t="shared" si="4"/>
        <v>-</v>
      </c>
      <c r="N16" s="1" t="str">
        <f t="shared" si="5"/>
        <v>Lunas</v>
      </c>
    </row>
    <row r="17" spans="1:14" x14ac:dyDescent="0.3">
      <c r="A17" s="3">
        <v>45767</v>
      </c>
      <c r="B17" t="s">
        <v>21</v>
      </c>
      <c r="C17" s="1" t="str">
        <f>INDEX(Data_Acuan!$A$5:$F$10,MATCH(Jawaban!B17,Data_Acuan!$D$5:$D$10,0),2)</f>
        <v>Lenovo Idepad</v>
      </c>
      <c r="D17" s="1" t="str">
        <f>INDEX(Data_Acuan!$A$5:$F$10,MATCH(Jawaban!B17,Data_Acuan!$D$5:$D$10,0),5)</f>
        <v>Laptop</v>
      </c>
      <c r="E17" t="s">
        <v>43</v>
      </c>
      <c r="F17" s="4">
        <v>4</v>
      </c>
      <c r="G17" s="11">
        <f>INDEX(Data_Acuan!$A$5:$F$10,MATCH(Jawaban!B17,Data_Acuan!$D$5:$D$10,0),6)</f>
        <v>8500000</v>
      </c>
      <c r="H17" s="12">
        <f t="shared" si="0"/>
        <v>34000000</v>
      </c>
      <c r="I17" s="14">
        <f t="shared" si="1"/>
        <v>0</v>
      </c>
      <c r="J17" s="1" t="str">
        <f t="shared" si="2"/>
        <v>Kartu Kredit/Debit</v>
      </c>
      <c r="K17" s="11">
        <f>HLOOKUP(J17,Data_Acuan!$C$14:$F$15,2,0)</f>
        <v>5000</v>
      </c>
      <c r="L17" s="11">
        <f t="shared" si="3"/>
        <v>34005000</v>
      </c>
      <c r="M17" s="13" t="str">
        <f t="shared" si="4"/>
        <v>Flashdisk 16GB-32GB</v>
      </c>
      <c r="N17" s="1" t="str">
        <f t="shared" si="5"/>
        <v>Belum Bayar</v>
      </c>
    </row>
    <row r="18" spans="1:14" x14ac:dyDescent="0.3">
      <c r="A18" s="3">
        <v>45768</v>
      </c>
      <c r="B18" t="s">
        <v>23</v>
      </c>
      <c r="C18" s="1" t="str">
        <f>INDEX(Data_Acuan!$A$5:$F$10,MATCH(Jawaban!B18,Data_Acuan!$D$5:$D$10,0),2)</f>
        <v>Logitech Mouse</v>
      </c>
      <c r="D18" s="1" t="str">
        <f>INDEX(Data_Acuan!$A$5:$F$10,MATCH(Jawaban!B18,Data_Acuan!$D$5:$D$10,0),5)</f>
        <v>Aksesoris</v>
      </c>
      <c r="E18" t="s">
        <v>44</v>
      </c>
      <c r="F18" s="4">
        <v>2</v>
      </c>
      <c r="G18" s="11">
        <f>INDEX(Data_Acuan!$A$5:$F$10,MATCH(Jawaban!B18,Data_Acuan!$D$5:$D$10,0),6)</f>
        <v>150000</v>
      </c>
      <c r="H18" s="12">
        <f t="shared" si="0"/>
        <v>300000</v>
      </c>
      <c r="I18" s="14">
        <f t="shared" si="1"/>
        <v>0</v>
      </c>
      <c r="J18" s="1" t="str">
        <f t="shared" si="2"/>
        <v>Cash</v>
      </c>
      <c r="K18" s="11">
        <f>HLOOKUP(J18,Data_Acuan!$C$14:$F$15,2,0)</f>
        <v>0</v>
      </c>
      <c r="L18" s="11">
        <f t="shared" si="3"/>
        <v>300000</v>
      </c>
      <c r="M18" s="13" t="str">
        <f t="shared" si="4"/>
        <v>-</v>
      </c>
      <c r="N18" s="1" t="str">
        <f t="shared" si="5"/>
        <v>Belum Bayar</v>
      </c>
    </row>
    <row r="19" spans="1:14" x14ac:dyDescent="0.3">
      <c r="A19" s="3">
        <v>45769</v>
      </c>
      <c r="B19" t="s">
        <v>25</v>
      </c>
      <c r="C19" s="1" t="str">
        <f>INDEX(Data_Acuan!$A$5:$F$10,MATCH(Jawaban!B19,Data_Acuan!$D$5:$D$10,0),2)</f>
        <v>Samsung A15</v>
      </c>
      <c r="D19" s="1" t="str">
        <f>INDEX(Data_Acuan!$A$5:$F$10,MATCH(Jawaban!B19,Data_Acuan!$D$5:$D$10,0),5)</f>
        <v>Smartphone</v>
      </c>
      <c r="E19" t="s">
        <v>45</v>
      </c>
      <c r="F19" s="4">
        <v>3</v>
      </c>
      <c r="G19" s="11">
        <f>INDEX(Data_Acuan!$A$5:$F$10,MATCH(Jawaban!B19,Data_Acuan!$D$5:$D$10,0),6)</f>
        <v>2200000</v>
      </c>
      <c r="H19" s="12">
        <f t="shared" si="0"/>
        <v>6600000</v>
      </c>
      <c r="I19" s="14">
        <f t="shared" si="1"/>
        <v>0</v>
      </c>
      <c r="J19" s="1" t="str">
        <f t="shared" si="2"/>
        <v>QRIS/E-Wallet</v>
      </c>
      <c r="K19" s="11">
        <f>HLOOKUP(J19,Data_Acuan!$C$14:$F$15,2,0)</f>
        <v>2500</v>
      </c>
      <c r="L19" s="11">
        <f t="shared" si="3"/>
        <v>6602500</v>
      </c>
      <c r="M19" s="13" t="str">
        <f t="shared" si="4"/>
        <v>Tempered Glass &amp; Kartu Perdana</v>
      </c>
      <c r="N19" s="1" t="str">
        <f t="shared" si="5"/>
        <v>Lunas</v>
      </c>
    </row>
    <row r="20" spans="1:14" x14ac:dyDescent="0.3">
      <c r="A20" s="3">
        <v>45770</v>
      </c>
      <c r="B20" t="s">
        <v>25</v>
      </c>
      <c r="C20" s="1" t="str">
        <f>INDEX(Data_Acuan!$A$5:$F$10,MATCH(Jawaban!B20,Data_Acuan!$D$5:$D$10,0),2)</f>
        <v>Samsung A15</v>
      </c>
      <c r="D20" s="1" t="str">
        <f>INDEX(Data_Acuan!$A$5:$F$10,MATCH(Jawaban!B20,Data_Acuan!$D$5:$D$10,0),5)</f>
        <v>Smartphone</v>
      </c>
      <c r="E20" t="s">
        <v>46</v>
      </c>
      <c r="F20" s="4">
        <v>3</v>
      </c>
      <c r="G20" s="11">
        <f>INDEX(Data_Acuan!$A$5:$F$10,MATCH(Jawaban!B20,Data_Acuan!$D$5:$D$10,0),6)</f>
        <v>2200000</v>
      </c>
      <c r="H20" s="12">
        <f t="shared" si="0"/>
        <v>6600000</v>
      </c>
      <c r="I20" s="14">
        <f t="shared" si="1"/>
        <v>0</v>
      </c>
      <c r="J20" s="1" t="str">
        <f t="shared" si="2"/>
        <v>QRIS/E-Wallet</v>
      </c>
      <c r="K20" s="11">
        <f>HLOOKUP(J20,Data_Acuan!$C$14:$F$15,2,0)</f>
        <v>2500</v>
      </c>
      <c r="L20" s="11">
        <f t="shared" si="3"/>
        <v>6602500</v>
      </c>
      <c r="M20" s="13" t="str">
        <f t="shared" si="4"/>
        <v>Tempered Glass &amp; Kartu Perdana</v>
      </c>
      <c r="N20" s="1" t="str">
        <f t="shared" si="5"/>
        <v>Lunas</v>
      </c>
    </row>
    <row r="21" spans="1:14" x14ac:dyDescent="0.3">
      <c r="A21" s="3">
        <v>45771</v>
      </c>
      <c r="B21" t="s">
        <v>23</v>
      </c>
      <c r="C21" s="1" t="str">
        <f>INDEX(Data_Acuan!$A$5:$F$10,MATCH(Jawaban!B21,Data_Acuan!$D$5:$D$10,0),2)</f>
        <v>Logitech Mouse</v>
      </c>
      <c r="D21" s="1" t="str">
        <f>INDEX(Data_Acuan!$A$5:$F$10,MATCH(Jawaban!B21,Data_Acuan!$D$5:$D$10,0),5)</f>
        <v>Aksesoris</v>
      </c>
      <c r="E21" t="s">
        <v>47</v>
      </c>
      <c r="F21" s="4">
        <v>2</v>
      </c>
      <c r="G21" s="11">
        <f>INDEX(Data_Acuan!$A$5:$F$10,MATCH(Jawaban!B21,Data_Acuan!$D$5:$D$10,0),6)</f>
        <v>150000</v>
      </c>
      <c r="H21" s="12">
        <f t="shared" si="0"/>
        <v>300000</v>
      </c>
      <c r="I21" s="14">
        <f t="shared" si="1"/>
        <v>0</v>
      </c>
      <c r="J21" s="1" t="str">
        <f t="shared" si="2"/>
        <v>Cash</v>
      </c>
      <c r="K21" s="11">
        <f>HLOOKUP(J21,Data_Acuan!$C$14:$F$15,2,0)</f>
        <v>0</v>
      </c>
      <c r="L21" s="11">
        <f t="shared" si="3"/>
        <v>300000</v>
      </c>
      <c r="M21" s="13" t="str">
        <f t="shared" si="4"/>
        <v>-</v>
      </c>
      <c r="N21" s="1" t="str">
        <f t="shared" si="5"/>
        <v>Belum Bayar</v>
      </c>
    </row>
    <row r="22" spans="1:14" x14ac:dyDescent="0.3">
      <c r="A22" s="3">
        <v>45772</v>
      </c>
      <c r="B22" t="s">
        <v>24</v>
      </c>
      <c r="C22" s="1" t="str">
        <f>INDEX(Data_Acuan!$A$5:$F$10,MATCH(Jawaban!B22,Data_Acuan!$D$5:$D$10,0),2)</f>
        <v>AirPods Gen-2</v>
      </c>
      <c r="D22" s="1" t="str">
        <f>INDEX(Data_Acuan!$A$5:$F$10,MATCH(Jawaban!B22,Data_Acuan!$D$5:$D$10,0),5)</f>
        <v>Aksesoris</v>
      </c>
      <c r="E22" t="s">
        <v>48</v>
      </c>
      <c r="F22" s="4">
        <v>4</v>
      </c>
      <c r="G22" s="11">
        <f>INDEX(Data_Acuan!$A$5:$F$10,MATCH(Jawaban!B22,Data_Acuan!$D$5:$D$10,0),6)</f>
        <v>1899000</v>
      </c>
      <c r="H22" s="12">
        <f t="shared" si="0"/>
        <v>7596000</v>
      </c>
      <c r="I22" s="14">
        <f t="shared" si="1"/>
        <v>0.03</v>
      </c>
      <c r="J22" s="1" t="str">
        <f t="shared" si="2"/>
        <v>QRIS/E-Wallet</v>
      </c>
      <c r="K22" s="11">
        <f>HLOOKUP(J22,Data_Acuan!$C$14:$F$15,2,0)</f>
        <v>2500</v>
      </c>
      <c r="L22" s="11">
        <f t="shared" si="3"/>
        <v>7370620</v>
      </c>
      <c r="M22" s="13" t="str">
        <f t="shared" si="4"/>
        <v>Merchandise Brand</v>
      </c>
      <c r="N22" s="1" t="str">
        <f t="shared" si="5"/>
        <v>Lunas</v>
      </c>
    </row>
    <row r="23" spans="1:14" x14ac:dyDescent="0.3">
      <c r="A23" s="3">
        <v>45772</v>
      </c>
      <c r="B23" t="s">
        <v>21</v>
      </c>
      <c r="C23" s="1" t="str">
        <f>INDEX(Data_Acuan!$A$5:$F$10,MATCH(Jawaban!B23,Data_Acuan!$D$5:$D$10,0),2)</f>
        <v>Lenovo Idepad</v>
      </c>
      <c r="D23" s="1" t="str">
        <f>INDEX(Data_Acuan!$A$5:$F$10,MATCH(Jawaban!B23,Data_Acuan!$D$5:$D$10,0),5)</f>
        <v>Laptop</v>
      </c>
      <c r="E23" t="s">
        <v>49</v>
      </c>
      <c r="F23" s="4">
        <v>3</v>
      </c>
      <c r="G23" s="11">
        <f>INDEX(Data_Acuan!$A$5:$F$10,MATCH(Jawaban!B23,Data_Acuan!$D$5:$D$10,0),6)</f>
        <v>8500000</v>
      </c>
      <c r="H23" s="12">
        <f t="shared" si="0"/>
        <v>25500000</v>
      </c>
      <c r="I23" s="14">
        <f t="shared" si="1"/>
        <v>0</v>
      </c>
      <c r="J23" s="1" t="str">
        <f t="shared" si="2"/>
        <v>Kartu Kredit/Debit</v>
      </c>
      <c r="K23" s="11">
        <f>HLOOKUP(J23,Data_Acuan!$C$14:$F$15,2,0)</f>
        <v>5000</v>
      </c>
      <c r="L23" s="11">
        <f t="shared" si="3"/>
        <v>25505000</v>
      </c>
      <c r="M23" s="13" t="str">
        <f t="shared" si="4"/>
        <v>Flashdisk 16GB-32GB</v>
      </c>
      <c r="N23" s="1" t="str">
        <f t="shared" si="5"/>
        <v>Belum Bayar</v>
      </c>
    </row>
    <row r="24" spans="1:14" x14ac:dyDescent="0.3">
      <c r="A24" s="3">
        <v>45772</v>
      </c>
      <c r="B24" t="s">
        <v>24</v>
      </c>
      <c r="C24" s="1" t="str">
        <f>INDEX(Data_Acuan!$A$5:$F$10,MATCH(Jawaban!B24,Data_Acuan!$D$5:$D$10,0),2)</f>
        <v>AirPods Gen-2</v>
      </c>
      <c r="D24" s="1" t="str">
        <f>INDEX(Data_Acuan!$A$5:$F$10,MATCH(Jawaban!B24,Data_Acuan!$D$5:$D$10,0),5)</f>
        <v>Aksesoris</v>
      </c>
      <c r="E24" t="s">
        <v>50</v>
      </c>
      <c r="F24" s="4">
        <v>2</v>
      </c>
      <c r="G24" s="11">
        <f>INDEX(Data_Acuan!$A$5:$F$10,MATCH(Jawaban!B24,Data_Acuan!$D$5:$D$10,0),6)</f>
        <v>1899000</v>
      </c>
      <c r="H24" s="12">
        <f t="shared" si="0"/>
        <v>3798000</v>
      </c>
      <c r="I24" s="14">
        <f t="shared" si="1"/>
        <v>0.03</v>
      </c>
      <c r="J24" s="1" t="str">
        <f t="shared" si="2"/>
        <v>Cash</v>
      </c>
      <c r="K24" s="11">
        <f>HLOOKUP(J24,Data_Acuan!$C$14:$F$15,2,0)</f>
        <v>0</v>
      </c>
      <c r="L24" s="11">
        <f t="shared" si="3"/>
        <v>3684060</v>
      </c>
      <c r="M24" s="13" t="str">
        <f t="shared" si="4"/>
        <v>-</v>
      </c>
      <c r="N24" s="1" t="str">
        <f t="shared" si="5"/>
        <v>Belum Bayar</v>
      </c>
    </row>
    <row r="25" spans="1:14" x14ac:dyDescent="0.3">
      <c r="A25" s="3">
        <v>45774</v>
      </c>
      <c r="B25" t="s">
        <v>25</v>
      </c>
      <c r="C25" s="1" t="str">
        <f>INDEX(Data_Acuan!$A$5:$F$10,MATCH(Jawaban!B25,Data_Acuan!$D$5:$D$10,0),2)</f>
        <v>Samsung A15</v>
      </c>
      <c r="D25" s="1" t="str">
        <f>INDEX(Data_Acuan!$A$5:$F$10,MATCH(Jawaban!B25,Data_Acuan!$D$5:$D$10,0),5)</f>
        <v>Smartphone</v>
      </c>
      <c r="E25" t="s">
        <v>51</v>
      </c>
      <c r="F25" s="4">
        <v>1</v>
      </c>
      <c r="G25" s="11">
        <f>INDEX(Data_Acuan!$A$5:$F$10,MATCH(Jawaban!B25,Data_Acuan!$D$5:$D$10,0),6)</f>
        <v>2200000</v>
      </c>
      <c r="H25" s="12">
        <f t="shared" si="0"/>
        <v>2200000</v>
      </c>
      <c r="I25" s="14">
        <f t="shared" si="1"/>
        <v>0</v>
      </c>
      <c r="J25" s="1" t="str">
        <f t="shared" si="2"/>
        <v>Cash</v>
      </c>
      <c r="K25" s="11">
        <f>HLOOKUP(J25,Data_Acuan!$C$14:$F$15,2,0)</f>
        <v>0</v>
      </c>
      <c r="L25" s="11">
        <f t="shared" si="3"/>
        <v>2200000</v>
      </c>
      <c r="M25" s="13" t="str">
        <f t="shared" si="4"/>
        <v>-</v>
      </c>
      <c r="N25" s="1" t="str">
        <f t="shared" si="5"/>
        <v>Belum Bayar</v>
      </c>
    </row>
    <row r="26" spans="1:14" x14ac:dyDescent="0.3">
      <c r="A26" s="3">
        <v>45775</v>
      </c>
      <c r="B26" t="s">
        <v>25</v>
      </c>
      <c r="C26" s="1" t="str">
        <f>INDEX(Data_Acuan!$A$5:$F$10,MATCH(Jawaban!B26,Data_Acuan!$D$5:$D$10,0),2)</f>
        <v>Samsung A15</v>
      </c>
      <c r="D26" s="1" t="str">
        <f>INDEX(Data_Acuan!$A$5:$F$10,MATCH(Jawaban!B26,Data_Acuan!$D$5:$D$10,0),5)</f>
        <v>Smartphone</v>
      </c>
      <c r="E26" t="s">
        <v>52</v>
      </c>
      <c r="F26" s="4">
        <v>1</v>
      </c>
      <c r="G26" s="11">
        <f>INDEX(Data_Acuan!$A$5:$F$10,MATCH(Jawaban!B26,Data_Acuan!$D$5:$D$10,0),6)</f>
        <v>2200000</v>
      </c>
      <c r="H26" s="12">
        <f t="shared" si="0"/>
        <v>2200000</v>
      </c>
      <c r="I26" s="14">
        <f t="shared" si="1"/>
        <v>0</v>
      </c>
      <c r="J26" s="1" t="str">
        <f t="shared" si="2"/>
        <v>Cash</v>
      </c>
      <c r="K26" s="11">
        <f>HLOOKUP(J26,Data_Acuan!$C$14:$F$15,2,0)</f>
        <v>0</v>
      </c>
      <c r="L26" s="11">
        <f t="shared" si="3"/>
        <v>2200000</v>
      </c>
      <c r="M26" s="13" t="str">
        <f t="shared" si="4"/>
        <v>-</v>
      </c>
      <c r="N26" s="1" t="str">
        <f t="shared" si="5"/>
        <v>Belum Bayar</v>
      </c>
    </row>
    <row r="27" spans="1:14" x14ac:dyDescent="0.3">
      <c r="A27" s="3">
        <v>45776</v>
      </c>
      <c r="B27" t="s">
        <v>26</v>
      </c>
      <c r="C27" s="1" t="str">
        <f>INDEX(Data_Acuan!$A$5:$F$10,MATCH(Jawaban!B27,Data_Acuan!$D$5:$D$10,0),2)</f>
        <v>Iphone 16 128GB</v>
      </c>
      <c r="D27" s="1" t="str">
        <f>INDEX(Data_Acuan!$A$5:$F$10,MATCH(Jawaban!B27,Data_Acuan!$D$5:$D$10,0),5)</f>
        <v>Smartphone</v>
      </c>
      <c r="E27" t="s">
        <v>53</v>
      </c>
      <c r="F27" s="4">
        <v>1</v>
      </c>
      <c r="G27" s="11">
        <f>INDEX(Data_Acuan!$A$5:$F$10,MATCH(Jawaban!B27,Data_Acuan!$D$5:$D$10,0),6)</f>
        <v>14999000</v>
      </c>
      <c r="H27" s="12">
        <f t="shared" si="0"/>
        <v>14999000</v>
      </c>
      <c r="I27" s="14">
        <f t="shared" si="1"/>
        <v>0.06</v>
      </c>
      <c r="J27" s="1" t="str">
        <f t="shared" si="2"/>
        <v>Transfer Bank</v>
      </c>
      <c r="K27" s="11">
        <f>HLOOKUP(J27,Data_Acuan!$C$14:$F$15,2,0)</f>
        <v>6500</v>
      </c>
      <c r="L27" s="11">
        <f t="shared" si="3"/>
        <v>14105560</v>
      </c>
      <c r="M27" s="13" t="str">
        <f t="shared" si="4"/>
        <v>-</v>
      </c>
      <c r="N27" s="1" t="str">
        <f t="shared" si="5"/>
        <v>Lunas</v>
      </c>
    </row>
    <row r="28" spans="1:14" x14ac:dyDescent="0.3">
      <c r="A28" s="3">
        <v>45776</v>
      </c>
      <c r="B28" t="s">
        <v>21</v>
      </c>
      <c r="C28" s="1" t="str">
        <f>INDEX(Data_Acuan!$A$5:$F$10,MATCH(Jawaban!B28,Data_Acuan!$D$5:$D$10,0),2)</f>
        <v>Lenovo Idepad</v>
      </c>
      <c r="D28" s="1" t="str">
        <f>INDEX(Data_Acuan!$A$5:$F$10,MATCH(Jawaban!B28,Data_Acuan!$D$5:$D$10,0),5)</f>
        <v>Laptop</v>
      </c>
      <c r="E28" t="s">
        <v>54</v>
      </c>
      <c r="F28" s="4">
        <v>3</v>
      </c>
      <c r="G28" s="11">
        <f>INDEX(Data_Acuan!$A$5:$F$10,MATCH(Jawaban!B28,Data_Acuan!$D$5:$D$10,0),6)</f>
        <v>8500000</v>
      </c>
      <c r="H28" s="12">
        <f t="shared" si="0"/>
        <v>25500000</v>
      </c>
      <c r="I28" s="14">
        <f t="shared" si="1"/>
        <v>0</v>
      </c>
      <c r="J28" s="1" t="str">
        <f t="shared" si="2"/>
        <v>Kartu Kredit/Debit</v>
      </c>
      <c r="K28" s="11">
        <f>HLOOKUP(J28,Data_Acuan!$C$14:$F$15,2,0)</f>
        <v>5000</v>
      </c>
      <c r="L28" s="11">
        <f t="shared" si="3"/>
        <v>25505000</v>
      </c>
      <c r="M28" s="13" t="str">
        <f t="shared" si="4"/>
        <v>Flashdisk 16GB-32GB</v>
      </c>
      <c r="N28" s="1" t="str">
        <f t="shared" si="5"/>
        <v>Belum Bayar</v>
      </c>
    </row>
    <row r="29" spans="1:14" x14ac:dyDescent="0.3">
      <c r="A29" s="3">
        <v>45777</v>
      </c>
      <c r="B29" t="s">
        <v>22</v>
      </c>
      <c r="C29" s="1" t="str">
        <f>INDEX(Data_Acuan!$A$5:$F$10,MATCH(Jawaban!B29,Data_Acuan!$D$5:$D$10,0),2)</f>
        <v>Acer Aspire 5</v>
      </c>
      <c r="D29" s="1" t="str">
        <f>INDEX(Data_Acuan!$A$5:$F$10,MATCH(Jawaban!B29,Data_Acuan!$D$5:$D$10,0),5)</f>
        <v>Laptop</v>
      </c>
      <c r="E29" t="s">
        <v>55</v>
      </c>
      <c r="F29" s="4">
        <v>2</v>
      </c>
      <c r="G29" s="11">
        <f>INDEX(Data_Acuan!$A$5:$F$10,MATCH(Jawaban!B29,Data_Acuan!$D$5:$D$10,0),6)</f>
        <v>9000000</v>
      </c>
      <c r="H29" s="12">
        <f t="shared" si="0"/>
        <v>18000000</v>
      </c>
      <c r="I29" s="14">
        <f t="shared" si="1"/>
        <v>0.08</v>
      </c>
      <c r="J29" s="1" t="str">
        <f t="shared" si="2"/>
        <v>Transfer Bank</v>
      </c>
      <c r="K29" s="11">
        <f>HLOOKUP(J29,Data_Acuan!$C$14:$F$15,2,0)</f>
        <v>6500</v>
      </c>
      <c r="L29" s="11">
        <f t="shared" si="3"/>
        <v>16566500</v>
      </c>
      <c r="M29" s="13" t="str">
        <f t="shared" si="4"/>
        <v>-</v>
      </c>
      <c r="N29" s="1" t="str">
        <f t="shared" si="5"/>
        <v>Lunas</v>
      </c>
    </row>
    <row r="30" spans="1:14" x14ac:dyDescent="0.3">
      <c r="A30" s="3">
        <v>45777</v>
      </c>
      <c r="B30" t="s">
        <v>22</v>
      </c>
      <c r="C30" s="1" t="str">
        <f>INDEX(Data_Acuan!$A$5:$F$10,MATCH(Jawaban!B30,Data_Acuan!$D$5:$D$10,0),2)</f>
        <v>Acer Aspire 5</v>
      </c>
      <c r="D30" s="1" t="str">
        <f>INDEX(Data_Acuan!$A$5:$F$10,MATCH(Jawaban!B30,Data_Acuan!$D$5:$D$10,0),5)</f>
        <v>Laptop</v>
      </c>
      <c r="E30" t="s">
        <v>56</v>
      </c>
      <c r="F30" s="4">
        <v>1</v>
      </c>
      <c r="G30" s="11">
        <f>INDEX(Data_Acuan!$A$5:$F$10,MATCH(Jawaban!B30,Data_Acuan!$D$5:$D$10,0),6)</f>
        <v>9000000</v>
      </c>
      <c r="H30" s="12">
        <f t="shared" si="0"/>
        <v>9000000</v>
      </c>
      <c r="I30" s="14">
        <f t="shared" si="1"/>
        <v>0.08</v>
      </c>
      <c r="J30" s="1" t="str">
        <f t="shared" si="2"/>
        <v>QRIS/E-Wallet</v>
      </c>
      <c r="K30" s="11">
        <f>HLOOKUP(J30,Data_Acuan!$C$14:$F$15,2,0)</f>
        <v>2500</v>
      </c>
      <c r="L30" s="11">
        <f t="shared" si="3"/>
        <v>8282500</v>
      </c>
      <c r="M30" s="13" t="str">
        <f t="shared" si="4"/>
        <v>-</v>
      </c>
      <c r="N30" s="1" t="str">
        <f t="shared" si="5"/>
        <v>Lunas</v>
      </c>
    </row>
    <row r="31" spans="1:14" x14ac:dyDescent="0.3">
      <c r="A31" s="3">
        <v>45777</v>
      </c>
      <c r="B31" t="s">
        <v>23</v>
      </c>
      <c r="C31" s="1" t="str">
        <f>INDEX(Data_Acuan!$A$5:$F$10,MATCH(Jawaban!B31,Data_Acuan!$D$5:$D$10,0),2)</f>
        <v>Logitech Mouse</v>
      </c>
      <c r="D31" s="1" t="str">
        <f>INDEX(Data_Acuan!$A$5:$F$10,MATCH(Jawaban!B31,Data_Acuan!$D$5:$D$10,0),5)</f>
        <v>Aksesoris</v>
      </c>
      <c r="E31" t="s">
        <v>57</v>
      </c>
      <c r="F31" s="4">
        <v>1</v>
      </c>
      <c r="G31" s="11">
        <f>INDEX(Data_Acuan!$A$5:$F$10,MATCH(Jawaban!B31,Data_Acuan!$D$5:$D$10,0),6)</f>
        <v>150000</v>
      </c>
      <c r="H31" s="12">
        <f t="shared" si="0"/>
        <v>150000</v>
      </c>
      <c r="I31" s="14">
        <f t="shared" si="1"/>
        <v>0</v>
      </c>
      <c r="J31" s="1" t="str">
        <f t="shared" si="2"/>
        <v>Cash</v>
      </c>
      <c r="K31" s="11">
        <f>HLOOKUP(J31,Data_Acuan!$C$14:$F$15,2,0)</f>
        <v>0</v>
      </c>
      <c r="L31" s="11">
        <f t="shared" si="3"/>
        <v>150000</v>
      </c>
      <c r="M31" s="13" t="str">
        <f t="shared" si="4"/>
        <v>-</v>
      </c>
      <c r="N31" s="1" t="str">
        <f t="shared" si="5"/>
        <v>Belum Bayar</v>
      </c>
    </row>
    <row r="35" spans="1:7" x14ac:dyDescent="0.3">
      <c r="A35" s="15" t="s">
        <v>64</v>
      </c>
      <c r="E35" s="18" t="s">
        <v>80</v>
      </c>
      <c r="F35" s="18"/>
    </row>
    <row r="36" spans="1:7" x14ac:dyDescent="0.3">
      <c r="A36" s="20" t="s">
        <v>66</v>
      </c>
      <c r="B36" s="20"/>
      <c r="C36" s="20"/>
      <c r="E36" s="5" t="s">
        <v>13</v>
      </c>
      <c r="F36" s="5">
        <f>SUMIFS(F2:$F$31,C2:$C$31,E36)</f>
        <v>13</v>
      </c>
    </row>
    <row r="37" spans="1:7" x14ac:dyDescent="0.3">
      <c r="A37" s="20"/>
      <c r="B37" s="20"/>
      <c r="C37" s="20"/>
      <c r="E37" s="5" t="s">
        <v>14</v>
      </c>
      <c r="F37" s="5">
        <f>SUMIFS(F3:$F$31,C3:$C$31,E37)</f>
        <v>8</v>
      </c>
    </row>
    <row r="38" spans="1:7" x14ac:dyDescent="0.3">
      <c r="A38" s="31" t="s">
        <v>68</v>
      </c>
      <c r="B38" s="31"/>
      <c r="C38" s="31"/>
      <c r="E38" s="5" t="s">
        <v>15</v>
      </c>
      <c r="F38" s="5">
        <f>SUMIFS(F4:$F$31,C4:$C$31,E38)</f>
        <v>11</v>
      </c>
    </row>
    <row r="39" spans="1:7" ht="15" customHeight="1" x14ac:dyDescent="0.3">
      <c r="A39" s="20" t="s">
        <v>69</v>
      </c>
      <c r="B39" s="20"/>
      <c r="C39" s="20"/>
      <c r="E39" s="5" t="s">
        <v>17</v>
      </c>
      <c r="F39" s="5">
        <f>SUMIFS(F5:$F$31,C5:$C$31,E39)</f>
        <v>12</v>
      </c>
    </row>
    <row r="40" spans="1:7" x14ac:dyDescent="0.3">
      <c r="A40" s="20"/>
      <c r="B40" s="20"/>
      <c r="C40" s="20"/>
      <c r="E40" s="5" t="s">
        <v>16</v>
      </c>
      <c r="F40" s="5">
        <f>SUMIFS(F6:$F$31,C6:$C$31,E40)</f>
        <v>13</v>
      </c>
    </row>
    <row r="41" spans="1:7" x14ac:dyDescent="0.3">
      <c r="A41" s="20"/>
      <c r="B41" s="20"/>
      <c r="C41" s="20"/>
      <c r="E41" s="5" t="s">
        <v>67</v>
      </c>
      <c r="F41" s="5">
        <f>SUMIFS(F7:$F$31,C7:$C$31,E41)</f>
        <v>15</v>
      </c>
    </row>
    <row r="42" spans="1:7" x14ac:dyDescent="0.3">
      <c r="A42" s="20"/>
      <c r="B42" s="20"/>
      <c r="C42" s="20"/>
    </row>
    <row r="43" spans="1:7" x14ac:dyDescent="0.3">
      <c r="A43" s="20"/>
      <c r="B43" s="20"/>
      <c r="C43" s="20"/>
      <c r="E43" s="18" t="s">
        <v>81</v>
      </c>
      <c r="F43" s="18"/>
      <c r="G43" s="18"/>
    </row>
    <row r="44" spans="1:7" ht="15" customHeight="1" x14ac:dyDescent="0.3">
      <c r="A44" s="21" t="s">
        <v>70</v>
      </c>
      <c r="B44" s="21"/>
      <c r="C44" s="21"/>
      <c r="E44" s="16" t="s">
        <v>2</v>
      </c>
      <c r="F44" s="16" t="s">
        <v>82</v>
      </c>
      <c r="G44" s="16" t="s">
        <v>83</v>
      </c>
    </row>
    <row r="45" spans="1:7" x14ac:dyDescent="0.3">
      <c r="A45" s="21"/>
      <c r="B45" s="21"/>
      <c r="C45" s="21"/>
      <c r="E45" s="5" t="s">
        <v>13</v>
      </c>
      <c r="F45" s="5">
        <f>Data_Acuan!C5-Jawaban!F36</f>
        <v>2</v>
      </c>
      <c r="G45" s="5" t="str">
        <f>IF(F45=0,"Kosong","Tersedia")</f>
        <v>Tersedia</v>
      </c>
    </row>
    <row r="46" spans="1:7" x14ac:dyDescent="0.3">
      <c r="A46" s="21"/>
      <c r="B46" s="21"/>
      <c r="C46" s="21"/>
      <c r="E46" s="5" t="s">
        <v>14</v>
      </c>
      <c r="F46" s="5">
        <f>Data_Acuan!C6-Jawaban!F37</f>
        <v>12</v>
      </c>
      <c r="G46" s="5" t="str">
        <f t="shared" ref="G46:G50" si="6">IF(F46=0,"Kosong","Tersedia")</f>
        <v>Tersedia</v>
      </c>
    </row>
    <row r="47" spans="1:7" x14ac:dyDescent="0.3">
      <c r="A47" s="21" t="s">
        <v>71</v>
      </c>
      <c r="B47" s="21"/>
      <c r="C47" s="21"/>
      <c r="E47" s="5" t="s">
        <v>15</v>
      </c>
      <c r="F47" s="5">
        <f>Data_Acuan!C7-Jawaban!F38</f>
        <v>0</v>
      </c>
      <c r="G47" s="5" t="str">
        <f t="shared" si="6"/>
        <v>Kosong</v>
      </c>
    </row>
    <row r="48" spans="1:7" x14ac:dyDescent="0.3">
      <c r="A48" s="21" t="s">
        <v>72</v>
      </c>
      <c r="B48" s="21"/>
      <c r="C48" s="21"/>
      <c r="E48" s="5" t="s">
        <v>17</v>
      </c>
      <c r="F48" s="5">
        <f>Data_Acuan!C8-Jawaban!F39</f>
        <v>1</v>
      </c>
      <c r="G48" s="5" t="str">
        <f t="shared" si="6"/>
        <v>Tersedia</v>
      </c>
    </row>
    <row r="49" spans="1:7" x14ac:dyDescent="0.3">
      <c r="A49" s="21"/>
      <c r="B49" s="21"/>
      <c r="C49" s="21"/>
      <c r="E49" s="5" t="s">
        <v>16</v>
      </c>
      <c r="F49" s="5">
        <f>Data_Acuan!C9-Jawaban!F40</f>
        <v>0</v>
      </c>
      <c r="G49" s="5" t="str">
        <f t="shared" si="6"/>
        <v>Kosong</v>
      </c>
    </row>
    <row r="50" spans="1:7" ht="15" customHeight="1" x14ac:dyDescent="0.3">
      <c r="A50" s="21" t="s">
        <v>77</v>
      </c>
      <c r="B50" s="21"/>
      <c r="C50" s="21"/>
      <c r="E50" s="5" t="s">
        <v>67</v>
      </c>
      <c r="F50" s="5">
        <f>Data_Acuan!C10-Jawaban!F41</f>
        <v>0</v>
      </c>
      <c r="G50" s="5" t="str">
        <f t="shared" si="6"/>
        <v>Kosong</v>
      </c>
    </row>
    <row r="51" spans="1:7" x14ac:dyDescent="0.3">
      <c r="A51" s="21"/>
      <c r="B51" s="21"/>
      <c r="C51" s="21"/>
    </row>
    <row r="52" spans="1:7" x14ac:dyDescent="0.3">
      <c r="A52" s="32" t="s">
        <v>73</v>
      </c>
      <c r="B52" s="34" t="s">
        <v>74</v>
      </c>
      <c r="C52" s="34"/>
    </row>
    <row r="53" spans="1:7" x14ac:dyDescent="0.3">
      <c r="A53" s="33"/>
      <c r="B53" s="34"/>
      <c r="C53" s="34"/>
    </row>
    <row r="54" spans="1:7" x14ac:dyDescent="0.3">
      <c r="A54" s="32" t="s">
        <v>73</v>
      </c>
      <c r="B54" s="34" t="s">
        <v>75</v>
      </c>
      <c r="C54" s="34"/>
    </row>
    <row r="55" spans="1:7" x14ac:dyDescent="0.3">
      <c r="A55" s="33"/>
      <c r="B55" s="34"/>
      <c r="C55" s="34"/>
    </row>
    <row r="56" spans="1:7" x14ac:dyDescent="0.3">
      <c r="A56" s="32" t="s">
        <v>73</v>
      </c>
      <c r="B56" s="19" t="s">
        <v>76</v>
      </c>
      <c r="C56" s="19"/>
    </row>
    <row r="57" spans="1:7" x14ac:dyDescent="0.3">
      <c r="A57" s="33"/>
      <c r="B57" s="19"/>
      <c r="C57" s="19"/>
    </row>
    <row r="58" spans="1:7" x14ac:dyDescent="0.3">
      <c r="A58" s="20" t="s">
        <v>78</v>
      </c>
      <c r="B58" s="20"/>
      <c r="C58" s="20"/>
    </row>
    <row r="59" spans="1:7" x14ac:dyDescent="0.3">
      <c r="A59" s="20"/>
      <c r="B59" s="20"/>
      <c r="C59" s="20"/>
    </row>
    <row r="60" spans="1:7" ht="15" customHeight="1" x14ac:dyDescent="0.3">
      <c r="A60" s="21" t="s">
        <v>84</v>
      </c>
      <c r="B60" s="21"/>
      <c r="C60" s="21"/>
    </row>
    <row r="61" spans="1:7" x14ac:dyDescent="0.3">
      <c r="A61" s="21"/>
      <c r="B61" s="21"/>
      <c r="C61" s="21"/>
    </row>
    <row r="62" spans="1:7" x14ac:dyDescent="0.3">
      <c r="A62" s="21"/>
      <c r="B62" s="21"/>
      <c r="C62" s="21"/>
    </row>
    <row r="63" spans="1:7" x14ac:dyDescent="0.3">
      <c r="A63" s="17" t="s">
        <v>85</v>
      </c>
      <c r="B63" s="17"/>
      <c r="C63" s="17"/>
    </row>
    <row r="64" spans="1:7" ht="15" customHeight="1" x14ac:dyDescent="0.3">
      <c r="A64" s="22" t="s">
        <v>88</v>
      </c>
      <c r="B64" s="23"/>
      <c r="C64" s="24"/>
    </row>
    <row r="65" spans="1:3" x14ac:dyDescent="0.3">
      <c r="A65" s="25"/>
      <c r="B65" s="26"/>
      <c r="C65" s="27"/>
    </row>
    <row r="66" spans="1:3" x14ac:dyDescent="0.3">
      <c r="A66" s="28"/>
      <c r="B66" s="29"/>
      <c r="C66" s="30"/>
    </row>
    <row r="67" spans="1:3" x14ac:dyDescent="0.3">
      <c r="A67" s="31" t="s">
        <v>86</v>
      </c>
      <c r="B67" s="31"/>
      <c r="C67" s="31"/>
    </row>
    <row r="68" spans="1:3" x14ac:dyDescent="0.3">
      <c r="A68" s="31" t="s">
        <v>87</v>
      </c>
      <c r="B68" s="31"/>
      <c r="C68" s="31"/>
    </row>
  </sheetData>
  <mergeCells count="20">
    <mergeCell ref="E35:F35"/>
    <mergeCell ref="A48:C49"/>
    <mergeCell ref="A50:C51"/>
    <mergeCell ref="B52:C53"/>
    <mergeCell ref="B54:C55"/>
    <mergeCell ref="A36:C37"/>
    <mergeCell ref="A39:C43"/>
    <mergeCell ref="A38:C38"/>
    <mergeCell ref="A44:C46"/>
    <mergeCell ref="A47:C47"/>
    <mergeCell ref="A67:C67"/>
    <mergeCell ref="A68:C68"/>
    <mergeCell ref="A64:C66"/>
    <mergeCell ref="E43:G43"/>
    <mergeCell ref="A60:C62"/>
    <mergeCell ref="B56:C57"/>
    <mergeCell ref="A52:A53"/>
    <mergeCell ref="A54:A55"/>
    <mergeCell ref="A56:A57"/>
    <mergeCell ref="A58:C59"/>
  </mergeCells>
  <conditionalFormatting sqref="F36:F4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{F6DA5DAF-5EF6-4B76-9FA9-2D397D3C739A}</x14:id>
        </ext>
      </extLst>
    </cfRule>
  </conditionalFormatting>
  <conditionalFormatting sqref="G45:G50">
    <cfRule type="containsText" dxfId="6" priority="1" operator="containsText" text="Tersedia">
      <formula>NOT(ISERROR(SEARCH("Tersedia",G45)))</formula>
    </cfRule>
    <cfRule type="containsText" dxfId="5" priority="2" operator="containsText" text="Kosong">
      <formula>NOT(ISERROR(SEARCH("Kosong",G45)))</formula>
    </cfRule>
  </conditionalFormatting>
  <pageMargins left="0.7" right="0.7" top="0.75" bottom="0.75" header="0.3" footer="0.3"/>
  <pageSetup orientation="portrait" r:id="rId1"/>
  <ignoredErrors>
    <ignoredError sqref="F37:F41" formulaRange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DA5DAF-5EF6-4B76-9FA9-2D397D3C73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F36:F41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Data_Acuan</vt:lpstr>
      <vt:lpstr>Soal</vt:lpstr>
      <vt:lpstr>Jawaban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daffa azhari</cp:lastModifiedBy>
  <dcterms:created xsi:type="dcterms:W3CDTF">2025-05-09T00:51:36Z</dcterms:created>
  <dcterms:modified xsi:type="dcterms:W3CDTF">2026-03-13T01:40:00Z</dcterms:modified>
</cp:coreProperties>
</file>