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har\Documents\FOLDER FULL PELATIHAN\FULL BELAJAR EXCEL\FULL EXCEL\SOAL\"/>
    </mc:Choice>
  </mc:AlternateContent>
  <xr:revisionPtr revIDLastSave="0" documentId="13_ncr:1_{60E4F100-24E3-40A2-B59F-EF9BDB6BC5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Diri" sheetId="1" r:id="rId1"/>
    <sheet name="Data_Acuan" sheetId="2" r:id="rId2"/>
    <sheet name="Soa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3" l="1" a="1"/>
  <c r="S8" i="3"/>
  <c r="S9" i="3" a="1"/>
  <c r="S9" i="3" s="1"/>
  <c r="S10" i="3" a="1"/>
  <c r="S10" i="3" s="1"/>
  <c r="S11" i="3" a="1"/>
  <c r="S11" i="3" s="1"/>
  <c r="S12" i="3" a="1"/>
  <c r="S12" i="3" s="1"/>
  <c r="S13" i="3" a="1"/>
  <c r="S13" i="3"/>
  <c r="S14" i="3" a="1"/>
  <c r="S14" i="3"/>
  <c r="S15" i="3" a="1"/>
  <c r="S15" i="3"/>
  <c r="S16" i="3" a="1"/>
  <c r="S16" i="3" s="1"/>
  <c r="S17" i="3" a="1"/>
  <c r="S17" i="3" s="1"/>
  <c r="S18" i="3" a="1"/>
  <c r="S18" i="3"/>
  <c r="S19" i="3" a="1"/>
  <c r="S19" i="3" s="1"/>
  <c r="S20" i="3" a="1"/>
  <c r="S20" i="3"/>
  <c r="S21" i="3" a="1"/>
  <c r="S21" i="3"/>
  <c r="S22" i="3" a="1"/>
  <c r="S22" i="3" s="1"/>
  <c r="S23" i="3" a="1"/>
  <c r="S23" i="3" s="1"/>
  <c r="S24" i="3" a="1"/>
  <c r="S24" i="3"/>
  <c r="S25" i="3" a="1"/>
  <c r="S25" i="3"/>
  <c r="S26" i="3" a="1"/>
  <c r="S26" i="3"/>
  <c r="S27" i="3" a="1"/>
  <c r="S27" i="3"/>
  <c r="S28" i="3" a="1"/>
  <c r="S28" i="3" s="1"/>
  <c r="S29" i="3" a="1"/>
  <c r="S29" i="3" s="1"/>
  <c r="S30" i="3" a="1"/>
  <c r="S30" i="3"/>
  <c r="S31" i="3" a="1"/>
  <c r="S31" i="3"/>
  <c r="S32" i="3" a="1"/>
  <c r="S32" i="3"/>
  <c r="S33" i="3" a="1"/>
  <c r="S33" i="3"/>
  <c r="S34" i="3" a="1"/>
  <c r="S34" i="3" s="1"/>
  <c r="S35" i="3" a="1"/>
  <c r="S35" i="3" s="1"/>
  <c r="S36" i="3" a="1"/>
  <c r="S36" i="3"/>
  <c r="S7" i="3" a="1"/>
  <c r="S7" i="3" s="1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7" i="3"/>
  <c r="J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L8" i="3" a="1"/>
  <c r="L8" i="3" s="1"/>
  <c r="L9" i="3" a="1"/>
  <c r="L9" i="3"/>
  <c r="L10" i="3" a="1"/>
  <c r="L10" i="3"/>
  <c r="L11" i="3" a="1"/>
  <c r="L11" i="3"/>
  <c r="L12" i="3" a="1"/>
  <c r="L12" i="3"/>
  <c r="L13" i="3" a="1"/>
  <c r="L13" i="3"/>
  <c r="L14" i="3" a="1"/>
  <c r="L14" i="3" s="1"/>
  <c r="L15" i="3" a="1"/>
  <c r="L15" i="3"/>
  <c r="L16" i="3" a="1"/>
  <c r="L16" i="3"/>
  <c r="L17" i="3" a="1"/>
  <c r="L17" i="3"/>
  <c r="L18" i="3" a="1"/>
  <c r="L18" i="3"/>
  <c r="L19" i="3" a="1"/>
  <c r="L19" i="3"/>
  <c r="L20" i="3" a="1"/>
  <c r="L20" i="3" s="1"/>
  <c r="L21" i="3" a="1"/>
  <c r="L21" i="3"/>
  <c r="L22" i="3" a="1"/>
  <c r="L22" i="3"/>
  <c r="L23" i="3" a="1"/>
  <c r="L23" i="3"/>
  <c r="L24" i="3" a="1"/>
  <c r="L24" i="3"/>
  <c r="L25" i="3" a="1"/>
  <c r="L25" i="3"/>
  <c r="L26" i="3" a="1"/>
  <c r="L26" i="3" s="1"/>
  <c r="L27" i="3" a="1"/>
  <c r="L27" i="3"/>
  <c r="L28" i="3" a="1"/>
  <c r="L28" i="3"/>
  <c r="L29" i="3" a="1"/>
  <c r="L29" i="3"/>
  <c r="L30" i="3" a="1"/>
  <c r="L30" i="3"/>
  <c r="L31" i="3" a="1"/>
  <c r="L31" i="3"/>
  <c r="L32" i="3" a="1"/>
  <c r="L32" i="3" s="1"/>
  <c r="L33" i="3" a="1"/>
  <c r="L33" i="3"/>
  <c r="L34" i="3" a="1"/>
  <c r="L34" i="3"/>
  <c r="L35" i="3" a="1"/>
  <c r="L35" i="3"/>
  <c r="L36" i="3" a="1"/>
  <c r="L36" i="3"/>
  <c r="L7" i="3" a="1"/>
  <c r="L7" i="3" s="1"/>
  <c r="M7" i="3" s="1"/>
  <c r="N7" i="3" s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<sst xmlns="http://schemas.openxmlformats.org/spreadsheetml/2006/main" count="170" uniqueCount="167">
  <si>
    <t>Nama</t>
  </si>
  <si>
    <t>No. HP</t>
  </si>
  <si>
    <t>Email</t>
  </si>
  <si>
    <t>(isi dengan nomor handphone yang terhubung dengan WhatsApp)</t>
  </si>
  <si>
    <t>(isi dengan email aktif)</t>
  </si>
  <si>
    <t>(isi dengan nama lengkap)</t>
  </si>
  <si>
    <t>HOSPITAL "SVTCARATDEUL"</t>
  </si>
  <si>
    <t>NO</t>
  </si>
  <si>
    <t>ID PASIEN</t>
  </si>
  <si>
    <t>NAMA PASIEN</t>
  </si>
  <si>
    <t>JENIS KELAMIN</t>
  </si>
  <si>
    <t>TTL PASIEN</t>
  </si>
  <si>
    <t>KODE KAMAR</t>
  </si>
  <si>
    <t>JENIS KAMAR</t>
  </si>
  <si>
    <t>JENIS KATEGORI PENYAKIT</t>
  </si>
  <si>
    <t>TANGGAL MASUK</t>
  </si>
  <si>
    <t>TANGGAL KELUAR</t>
  </si>
  <si>
    <t>ALAMAT</t>
  </si>
  <si>
    <t>LAMA INAP</t>
  </si>
  <si>
    <t>Daftar Pasien Rawat Inap</t>
  </si>
  <si>
    <t>TARIF DOKTER</t>
  </si>
  <si>
    <t>BIAYA OBAT-OBATAN</t>
  </si>
  <si>
    <t>TOTAL TAGIHAN</t>
  </si>
  <si>
    <t>BIAYA TOTAL (AWAL)</t>
  </si>
  <si>
    <t>Jl.Pavilion No.10, Ruyi, Selatan</t>
  </si>
  <si>
    <t>Jl-L-15/04/1990-B</t>
  </si>
  <si>
    <t>Jl-P-22/09/1996-M</t>
  </si>
  <si>
    <t>Jl-P-03/05/1992-B</t>
  </si>
  <si>
    <t>Jl-P-17/01/1998-M</t>
  </si>
  <si>
    <t>Jl-L-10/12/1987-M</t>
  </si>
  <si>
    <t>Jl-L-01/01/2000-B</t>
  </si>
  <si>
    <t>Jl-P-30/11/1999-M</t>
  </si>
  <si>
    <t>Jl-L-03/03/1998-B</t>
  </si>
  <si>
    <t>Jl-L-05/12/1990-M</t>
  </si>
  <si>
    <t>Jl-P-12/10/1970-B</t>
  </si>
  <si>
    <t>Jl-P-16/07/1993-B</t>
  </si>
  <si>
    <t>Jl-P-20/01/1995-B</t>
  </si>
  <si>
    <t>Jl-P-15/03/1989-M</t>
  </si>
  <si>
    <t>Jl-P-16/04/1995-M</t>
  </si>
  <si>
    <t>Jl-P-10/03/1995-M</t>
  </si>
  <si>
    <t>Jl-L-25/08/2000-B</t>
  </si>
  <si>
    <t>Jl-P-15/04/1980-M</t>
  </si>
  <si>
    <t>Jl-L-16/05/1994-M</t>
  </si>
  <si>
    <t>Jl-L-23/12/1995-M</t>
  </si>
  <si>
    <t>Jl-P-31/03/2003-B</t>
  </si>
  <si>
    <t>Jl-L-28/01/1991-M</t>
  </si>
  <si>
    <t>Jl-L-11/09/1971-B</t>
  </si>
  <si>
    <t>Jl-P-04/10/1998-B</t>
  </si>
  <si>
    <t>Jl-L-21/11/2001-B</t>
  </si>
  <si>
    <t>Jl-P-18/05/2000-B</t>
  </si>
  <si>
    <t>Jl-L-25/11/1996-B</t>
  </si>
  <si>
    <t>Jl-P-15/10/1993-M</t>
  </si>
  <si>
    <t>Jl-P-29/12/1999-B</t>
  </si>
  <si>
    <t>Jl-L-13/05/2000-M</t>
  </si>
  <si>
    <t>Jl-L-20/06/1971-M</t>
  </si>
  <si>
    <t>B01-M-01/05/25-2B</t>
  </si>
  <si>
    <t>D03-B-01/05/25-1R</t>
  </si>
  <si>
    <t>A00-M-02/05/25-3B</t>
  </si>
  <si>
    <t>A00-M-03/05/25-4B</t>
  </si>
  <si>
    <t>A00</t>
  </si>
  <si>
    <t>B01</t>
  </si>
  <si>
    <t>C02</t>
  </si>
  <si>
    <t>D03</t>
  </si>
  <si>
    <t>VIP</t>
  </si>
  <si>
    <t>Kelas 1</t>
  </si>
  <si>
    <t>Kelas 2</t>
  </si>
  <si>
    <t>Kelas 3</t>
  </si>
  <si>
    <t>C02-B-05/05/25-4R</t>
  </si>
  <si>
    <t>B01-M-07/05/25-5B</t>
  </si>
  <si>
    <t>D03-B-10/05/25-2R</t>
  </si>
  <si>
    <t>A00-M-10/05/25-2B</t>
  </si>
  <si>
    <t>C02-B-13/05/25-1R</t>
  </si>
  <si>
    <t>C02-B-15/05/25-1R</t>
  </si>
  <si>
    <t>D03-B-15/05/25-2R</t>
  </si>
  <si>
    <t>A00-M-17/05/25-2B</t>
  </si>
  <si>
    <t>A00-M-18/05/25-2B</t>
  </si>
  <si>
    <t>A00-M-19/05/25-2B</t>
  </si>
  <si>
    <t>C02-B-20/05/25-4B</t>
  </si>
  <si>
    <t>A00-M-21/05/25-2B</t>
  </si>
  <si>
    <t>A00-M-22/05/25-2B</t>
  </si>
  <si>
    <t>A00-M-23/05/25-2B</t>
  </si>
  <si>
    <t>D03-B-25/05/25-2R</t>
  </si>
  <si>
    <t>B01-M-25/05/25-3B</t>
  </si>
  <si>
    <t>B01-M-26/05/25-2B</t>
  </si>
  <si>
    <t>D03-B-27/05/25-5R</t>
  </si>
  <si>
    <t>D03-B-28/05/25-2R</t>
  </si>
  <si>
    <t>B01-M-29/05/25-5B</t>
  </si>
  <si>
    <t>C02-B-29/05/25-4R</t>
  </si>
  <si>
    <t>C02-B-28/05/25-1R</t>
  </si>
  <si>
    <t>B01-M-30/05/25-3B</t>
  </si>
  <si>
    <t>A00-M-31/05/25-1B</t>
  </si>
  <si>
    <t>Pneumonia (Radang Paru-paru)</t>
  </si>
  <si>
    <t>Typus (Tifoid)</t>
  </si>
  <si>
    <t>Gagal Ginjal</t>
  </si>
  <si>
    <t>Pasca Operasi Caesar</t>
  </si>
  <si>
    <t>Kode Kamar Inap</t>
  </si>
  <si>
    <t>Jenis Kamar Inap</t>
  </si>
  <si>
    <t>Biaya Tarif Kamar/hari</t>
  </si>
  <si>
    <t>Tarif Dokter</t>
  </si>
  <si>
    <t>Ringan</t>
  </si>
  <si>
    <t>Berat</t>
  </si>
  <si>
    <t>Kode Penyakit</t>
  </si>
  <si>
    <t>Jenis Penyakit</t>
  </si>
  <si>
    <t>Demam Berdarah Dengue (DBD)</t>
  </si>
  <si>
    <t>No</t>
  </si>
  <si>
    <t>C02-B-01/05/25-2R</t>
  </si>
  <si>
    <t>1</t>
  </si>
  <si>
    <t>2</t>
  </si>
  <si>
    <t>3</t>
  </si>
  <si>
    <t>4</t>
  </si>
  <si>
    <t>5</t>
  </si>
  <si>
    <t>LOKA WIRANTA</t>
  </si>
  <si>
    <t>HANA LIN</t>
  </si>
  <si>
    <t>SANITA VELORA</t>
  </si>
  <si>
    <t>VANYA RUSELINA</t>
  </si>
  <si>
    <t>REZA TARMOKO</t>
  </si>
  <si>
    <t>DARGO MAWESTA</t>
  </si>
  <si>
    <t>TISYA AVENDRA</t>
  </si>
  <si>
    <t>KARYO LIMANTARA</t>
  </si>
  <si>
    <t>JEFRO MALANTARA</t>
  </si>
  <si>
    <t>BINAR KENDARTA</t>
  </si>
  <si>
    <t>CHIKA YURESTA</t>
  </si>
  <si>
    <t>MEI ZHANG</t>
  </si>
  <si>
    <t>LIU SHISHI</t>
  </si>
  <si>
    <t>ZHANG ROUNAN</t>
  </si>
  <si>
    <t>CHENG XIAO</t>
  </si>
  <si>
    <t>VARO GHANTIRA</t>
  </si>
  <si>
    <t>ZHANG YUNLONG</t>
  </si>
  <si>
    <t>BAI JINTING</t>
  </si>
  <si>
    <t>LIU YUNING</t>
  </si>
  <si>
    <t>SELVI MAHARENTIYA</t>
  </si>
  <si>
    <t>ETHAN CHALLISTER</t>
  </si>
  <si>
    <t>DENO ABHYAKA</t>
  </si>
  <si>
    <t>LINDA SERWASTI</t>
  </si>
  <si>
    <t>CALVIN TRASMOKO</t>
  </si>
  <si>
    <t>YAVITA ORLENZA</t>
  </si>
  <si>
    <t>GALAN MERDANA</t>
  </si>
  <si>
    <t>SYIFA ANTAVERA</t>
  </si>
  <si>
    <t>NIRA ZALINDRA</t>
  </si>
  <si>
    <t>LIAM HARGROVE</t>
  </si>
  <si>
    <t>YICHEN LUO</t>
  </si>
  <si>
    <t>JENIS TANGGUNGAN</t>
  </si>
  <si>
    <t>Soal/Intruksi!</t>
  </si>
  <si>
    <t>USIA</t>
  </si>
  <si>
    <r>
      <t xml:space="preserve">contoh hasil: </t>
    </r>
    <r>
      <rPr>
        <b/>
        <sz val="11"/>
        <color theme="1"/>
        <rFont val="Calibri"/>
        <family val="2"/>
        <scheme val="minor"/>
      </rPr>
      <t>Pneumonia (Radang Paru-paru) - Ringan</t>
    </r>
  </si>
  <si>
    <t>BIAYA PERAWATAN INAP</t>
  </si>
  <si>
    <t>Biaya Obat</t>
  </si>
  <si>
    <r>
      <rPr>
        <b/>
        <sz val="11"/>
        <color theme="1"/>
        <rFont val="Calibri"/>
        <family val="2"/>
        <scheme val="minor"/>
      </rPr>
      <t xml:space="preserve">JENIS KELAMIN </t>
    </r>
    <r>
      <rPr>
        <sz val="11"/>
        <color theme="1"/>
        <rFont val="Calibri"/>
        <family val="2"/>
        <scheme val="minor"/>
      </rPr>
      <t>diambil dari</t>
    </r>
    <r>
      <rPr>
        <b/>
        <sz val="11"/>
        <color theme="1"/>
        <rFont val="Calibri"/>
        <family val="2"/>
        <scheme val="minor"/>
      </rPr>
      <t xml:space="preserve"> ID PASIEN </t>
    </r>
    <r>
      <rPr>
        <sz val="11"/>
        <color theme="1"/>
        <rFont val="Calibri"/>
        <family val="2"/>
        <scheme val="minor"/>
      </rPr>
      <t>karakter ke-4</t>
    </r>
  </si>
  <si>
    <r>
      <rPr>
        <b/>
        <sz val="11"/>
        <color theme="1"/>
        <rFont val="Calibri"/>
        <family val="2"/>
        <scheme val="minor"/>
      </rPr>
      <t xml:space="preserve">TTL PASIEN </t>
    </r>
    <r>
      <rPr>
        <sz val="11"/>
        <color theme="1"/>
        <rFont val="Calibri"/>
        <family val="2"/>
        <scheme val="minor"/>
      </rPr>
      <t>diambil dari</t>
    </r>
    <r>
      <rPr>
        <b/>
        <sz val="11"/>
        <color theme="1"/>
        <rFont val="Calibri"/>
        <family val="2"/>
        <scheme val="minor"/>
      </rPr>
      <t xml:space="preserve"> ID PASIEN </t>
    </r>
    <r>
      <rPr>
        <sz val="11"/>
        <color theme="1"/>
        <rFont val="Calibri"/>
        <family val="2"/>
        <scheme val="minor"/>
      </rPr>
      <t>karakter ke-6 s/d 10</t>
    </r>
  </si>
  <si>
    <r>
      <rPr>
        <b/>
        <sz val="11"/>
        <color theme="1"/>
        <rFont val="Calibri"/>
        <family val="2"/>
        <scheme val="minor"/>
      </rPr>
      <t xml:space="preserve">USIA </t>
    </r>
    <r>
      <rPr>
        <sz val="11"/>
        <color theme="1"/>
        <rFont val="Calibri"/>
        <family val="2"/>
        <scheme val="minor"/>
      </rPr>
      <t xml:space="preserve">dihitung berdasarkan </t>
    </r>
    <r>
      <rPr>
        <b/>
        <sz val="11"/>
        <color theme="1"/>
        <rFont val="Calibri"/>
        <family val="2"/>
        <scheme val="minor"/>
      </rPr>
      <t>TTL PASIEN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(dengan menambahkan string "tahun" di belakang)</t>
    </r>
  </si>
  <si>
    <r>
      <rPr>
        <b/>
        <sz val="11"/>
        <color theme="1"/>
        <rFont val="Calibri"/>
        <family val="2"/>
        <scheme val="minor"/>
      </rPr>
      <t>ALAMAT</t>
    </r>
    <r>
      <rPr>
        <sz val="11"/>
        <color theme="1"/>
        <rFont val="Calibri"/>
        <family val="2"/>
        <scheme val="minor"/>
      </rPr>
      <t xml:space="preserve"> gabungan dari </t>
    </r>
    <r>
      <rPr>
        <b/>
        <sz val="11"/>
        <color rgb="FFC00000"/>
        <rFont val="Calibri"/>
        <family val="2"/>
        <scheme val="minor"/>
      </rPr>
      <t>TTL PASIEN"_"ID PASIEN</t>
    </r>
  </si>
  <si>
    <r>
      <rPr>
        <b/>
        <sz val="11"/>
        <color theme="1"/>
        <rFont val="Calibri"/>
        <family val="2"/>
        <scheme val="minor"/>
      </rPr>
      <t>JENIS KAMAR</t>
    </r>
    <r>
      <rPr>
        <sz val="11"/>
        <color theme="1"/>
        <rFont val="Calibri"/>
        <family val="2"/>
        <scheme val="minor"/>
      </rPr>
      <t xml:space="preserve"> mengacu pada </t>
    </r>
    <r>
      <rPr>
        <b/>
        <sz val="11"/>
        <color theme="1"/>
        <rFont val="Calibri"/>
        <family val="2"/>
        <scheme val="minor"/>
      </rPr>
      <t>sheet "Data_Acuan"</t>
    </r>
    <r>
      <rPr>
        <sz val="11"/>
        <color theme="1"/>
        <rFont val="Calibri"/>
        <family val="2"/>
        <scheme val="minor"/>
      </rPr>
      <t xml:space="preserve"> dengan menggunakan rumus </t>
    </r>
    <r>
      <rPr>
        <b/>
        <sz val="11"/>
        <color rgb="FFC00000"/>
        <rFont val="Calibri"/>
        <family val="2"/>
        <scheme val="minor"/>
      </rPr>
      <t>INDEX MATCH</t>
    </r>
  </si>
  <si>
    <r>
      <rPr>
        <b/>
        <sz val="11"/>
        <color theme="1"/>
        <rFont val="Calibri"/>
        <family val="2"/>
        <scheme val="minor"/>
      </rPr>
      <t xml:space="preserve">JENIS KATEGORI PENYAKIT </t>
    </r>
    <r>
      <rPr>
        <sz val="11"/>
        <color theme="1"/>
        <rFont val="Calibri"/>
        <family val="2"/>
        <scheme val="minor"/>
      </rPr>
      <t xml:space="preserve">mengacu pada </t>
    </r>
    <r>
      <rPr>
        <b/>
        <sz val="11"/>
        <color theme="1"/>
        <rFont val="Calibri"/>
        <family val="2"/>
        <scheme val="minor"/>
      </rPr>
      <t xml:space="preserve">sheet "Data_Acuan" </t>
    </r>
    <r>
      <rPr>
        <sz val="11"/>
        <color theme="1"/>
        <rFont val="Calibri"/>
        <family val="2"/>
        <scheme val="minor"/>
      </rPr>
      <t>berdasarkan kode jenis penyakit dan dengan menggabungkan kategori penyakit (di kolom kode kamar), jika</t>
    </r>
    <r>
      <rPr>
        <b/>
        <sz val="11"/>
        <color theme="1"/>
        <rFont val="Calibri"/>
        <family val="2"/>
        <scheme val="minor"/>
      </rPr>
      <t xml:space="preserve"> R = Ringan, B = Berat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 xml:space="preserve"> (Jenis Penyakit" - "Kategori Penyakit)</t>
    </r>
  </si>
  <si>
    <r>
      <rPr>
        <b/>
        <sz val="11"/>
        <color theme="1"/>
        <rFont val="Calibri"/>
        <family val="2"/>
        <scheme val="minor"/>
      </rPr>
      <t>TANGGAL MASUK</t>
    </r>
    <r>
      <rPr>
        <sz val="11"/>
        <color theme="1"/>
        <rFont val="Calibri"/>
        <family val="2"/>
        <scheme val="minor"/>
      </rPr>
      <t xml:space="preserve"> diambil dari </t>
    </r>
    <r>
      <rPr>
        <b/>
        <sz val="11"/>
        <color theme="1"/>
        <rFont val="Calibri"/>
        <family val="2"/>
        <scheme val="minor"/>
      </rPr>
      <t>KODE KAMAR</t>
    </r>
  </si>
  <si>
    <r>
      <rPr>
        <b/>
        <sz val="11"/>
        <color theme="1"/>
        <rFont val="Calibri"/>
        <family val="2"/>
        <scheme val="minor"/>
      </rPr>
      <t>TANGGAL KELUAR</t>
    </r>
    <r>
      <rPr>
        <sz val="11"/>
        <color theme="1"/>
        <rFont val="Calibri"/>
        <family val="2"/>
        <scheme val="minor"/>
      </rPr>
      <t xml:space="preserve"> diambil berdasarkan :</t>
    </r>
  </si>
  <si>
    <r>
      <rPr>
        <b/>
        <sz val="11"/>
        <color theme="1"/>
        <rFont val="Calibri"/>
        <family val="2"/>
        <scheme val="minor"/>
      </rPr>
      <t>LAMA INAP</t>
    </r>
    <r>
      <rPr>
        <sz val="11"/>
        <color theme="1"/>
        <rFont val="Calibri"/>
        <family val="2"/>
        <scheme val="minor"/>
      </rPr>
      <t xml:space="preserve"> hasil selisih dari tanggal keluar dan tanggal masuk </t>
    </r>
    <r>
      <rPr>
        <i/>
        <sz val="11"/>
        <color theme="1"/>
        <rFont val="Calibri"/>
        <family val="2"/>
        <scheme val="minor"/>
      </rPr>
      <t>(tambahkan string "hari" di belakang)</t>
    </r>
  </si>
  <si>
    <r>
      <rPr>
        <b/>
        <sz val="11"/>
        <color theme="1"/>
        <rFont val="Calibri"/>
        <family val="2"/>
        <scheme val="minor"/>
      </rPr>
      <t xml:space="preserve">BIAYA PERAWATAN INAP </t>
    </r>
    <r>
      <rPr>
        <sz val="11"/>
        <color theme="1"/>
        <rFont val="Calibri"/>
        <family val="2"/>
        <scheme val="minor"/>
      </rPr>
      <t>diambi dari</t>
    </r>
    <r>
      <rPr>
        <b/>
        <sz val="11"/>
        <color theme="1"/>
        <rFont val="Calibri"/>
        <family val="2"/>
        <scheme val="minor"/>
      </rPr>
      <t xml:space="preserve"> sheet "Data_Acuan"</t>
    </r>
    <r>
      <rPr>
        <sz val="11"/>
        <color theme="1"/>
        <rFont val="Calibri"/>
        <family val="2"/>
        <scheme val="minor"/>
      </rPr>
      <t xml:space="preserve"> dikali dengan </t>
    </r>
    <r>
      <rPr>
        <b/>
        <sz val="11"/>
        <color theme="1"/>
        <rFont val="Calibri"/>
        <family val="2"/>
        <scheme val="minor"/>
      </rPr>
      <t>LAMA INAP</t>
    </r>
  </si>
  <si>
    <r>
      <rPr>
        <b/>
        <sz val="11"/>
        <color theme="1"/>
        <rFont val="Calibri"/>
        <family val="2"/>
        <scheme val="minor"/>
      </rPr>
      <t>BIAYA OBAT-OBATAN</t>
    </r>
    <r>
      <rPr>
        <sz val="11"/>
        <color theme="1"/>
        <rFont val="Calibri"/>
        <family val="2"/>
        <scheme val="minor"/>
      </rPr>
      <t xml:space="preserve"> diambil dari </t>
    </r>
    <r>
      <rPr>
        <b/>
        <sz val="11"/>
        <color theme="1"/>
        <rFont val="Calibri"/>
        <family val="2"/>
        <scheme val="minor"/>
      </rPr>
      <t>sheet "Data_Acuan"</t>
    </r>
  </si>
  <si>
    <r>
      <rPr>
        <b/>
        <sz val="11"/>
        <color theme="1"/>
        <rFont val="Calibri"/>
        <family val="2"/>
        <scheme val="minor"/>
      </rPr>
      <t xml:space="preserve">TARIF DOKTER </t>
    </r>
    <r>
      <rPr>
        <sz val="11"/>
        <color theme="1"/>
        <rFont val="Calibri"/>
        <family val="2"/>
        <scheme val="minor"/>
      </rPr>
      <t xml:space="preserve">diambil dari </t>
    </r>
    <r>
      <rPr>
        <b/>
        <sz val="11"/>
        <color theme="1"/>
        <rFont val="Calibri"/>
        <family val="2"/>
        <scheme val="minor"/>
      </rPr>
      <t xml:space="preserve">sheet "Data_Acuan" </t>
    </r>
    <r>
      <rPr>
        <sz val="11"/>
        <color theme="1"/>
        <rFont val="Calibri"/>
        <family val="2"/>
        <scheme val="minor"/>
      </rPr>
      <t>berdasarkan</t>
    </r>
    <r>
      <rPr>
        <b/>
        <sz val="11"/>
        <color theme="1"/>
        <rFont val="Calibri"/>
        <family val="2"/>
        <scheme val="minor"/>
      </rPr>
      <t xml:space="preserve"> Jenis Kamar</t>
    </r>
    <r>
      <rPr>
        <sz val="11"/>
        <color theme="1"/>
        <rFont val="Calibri"/>
        <family val="2"/>
        <scheme val="minor"/>
      </rPr>
      <t xml:space="preserve"> dan</t>
    </r>
    <r>
      <rPr>
        <b/>
        <sz val="11"/>
        <color theme="1"/>
        <rFont val="Calibri"/>
        <family val="2"/>
        <scheme val="minor"/>
      </rPr>
      <t xml:space="preserve"> Berat atau Ringannya penyakit</t>
    </r>
  </si>
  <si>
    <t>BIAYA TOTAL (AWAL) =  ???</t>
  </si>
  <si>
    <r>
      <rPr>
        <b/>
        <sz val="11"/>
        <color theme="1"/>
        <rFont val="Calibri"/>
        <family val="2"/>
        <scheme val="minor"/>
      </rPr>
      <t xml:space="preserve">JENIS TANGGUNGAN </t>
    </r>
    <r>
      <rPr>
        <sz val="11"/>
        <color theme="1"/>
        <rFont val="Calibri"/>
        <family val="2"/>
        <scheme val="minor"/>
      </rPr>
      <t xml:space="preserve">diambil dari </t>
    </r>
    <r>
      <rPr>
        <b/>
        <sz val="11"/>
        <color theme="1"/>
        <rFont val="Calibri"/>
        <family val="2"/>
        <scheme val="minor"/>
      </rPr>
      <t xml:space="preserve">KODE KAMAR </t>
    </r>
    <r>
      <rPr>
        <b/>
        <sz val="11"/>
        <color rgb="FFC00000"/>
        <rFont val="Calibri"/>
        <family val="2"/>
        <scheme val="minor"/>
      </rPr>
      <t>(B = BPJS ; M = Mandiri)</t>
    </r>
  </si>
  <si>
    <r>
      <t>Jika kategori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ringan, 3 hari</t>
    </r>
    <r>
      <rPr>
        <sz val="11"/>
        <color theme="1"/>
        <rFont val="Calibri"/>
        <family val="2"/>
        <scheme val="minor"/>
      </rPr>
      <t xml:space="preserve"> dari tanggal masuk</t>
    </r>
  </si>
  <si>
    <r>
      <t xml:space="preserve">Jika kategori </t>
    </r>
    <r>
      <rPr>
        <b/>
        <sz val="11"/>
        <color rgb="FFC00000"/>
        <rFont val="Calibri"/>
        <family val="2"/>
        <scheme val="minor"/>
      </rPr>
      <t xml:space="preserve">berat, 7 hari </t>
    </r>
    <r>
      <rPr>
        <sz val="11"/>
        <color theme="1"/>
        <rFont val="Calibri"/>
        <family val="2"/>
        <scheme val="minor"/>
      </rPr>
      <t>dari tanggal masuk</t>
    </r>
  </si>
  <si>
    <r>
      <t xml:space="preserve">Jika </t>
    </r>
    <r>
      <rPr>
        <b/>
        <sz val="11"/>
        <color theme="1"/>
        <rFont val="Calibri"/>
        <family val="2"/>
        <scheme val="minor"/>
      </rPr>
      <t>BPJS</t>
    </r>
    <r>
      <rPr>
        <sz val="11"/>
        <color theme="1"/>
        <rFont val="Calibri"/>
        <family val="2"/>
        <scheme val="minor"/>
      </rPr>
      <t>, membayar hanya 20% dari (Biaya Perawatan + Biaya Obat) + Tarif Dokter + Biaya Total Awal * Pajak 10%</t>
    </r>
  </si>
  <si>
    <r>
      <t>Jika</t>
    </r>
    <r>
      <rPr>
        <b/>
        <sz val="11"/>
        <color theme="1"/>
        <rFont val="Calibri"/>
        <family val="2"/>
        <scheme val="minor"/>
      </rPr>
      <t xml:space="preserve"> Mandiri</t>
    </r>
    <r>
      <rPr>
        <sz val="11"/>
        <color theme="1"/>
        <rFont val="Calibri"/>
        <family val="2"/>
        <scheme val="minor"/>
      </rPr>
      <t>, dibayar penuh (Perawatan + Obat + Dokter) + Biaya Total Awal * Pajak 10%</t>
    </r>
  </si>
  <si>
    <r>
      <t xml:space="preserve">TOTAL TAGIHAN </t>
    </r>
    <r>
      <rPr>
        <sz val="11"/>
        <color theme="1"/>
        <rFont val="Calibri"/>
        <family val="2"/>
        <scheme val="minor"/>
      </rPr>
      <t>dihitung berdasarkan :</t>
    </r>
  </si>
  <si>
    <r>
      <rPr>
        <b/>
        <sz val="11"/>
        <color theme="1"/>
        <rFont val="Calibri"/>
        <family val="2"/>
        <scheme val="minor"/>
      </rPr>
      <t xml:space="preserve">Aktifkan Freeze Panes </t>
    </r>
    <r>
      <rPr>
        <sz val="11"/>
        <color theme="1"/>
        <rFont val="Calibri"/>
        <family val="2"/>
        <scheme val="minor"/>
      </rPr>
      <t>di D4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</si>
</sst>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@\ * &quot;:&quot;"/>
    <numFmt numFmtId="165" formatCode="[$-421]dd\ mmmm\ yyyy;@"/>
    <numFmt numFmtId="166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" xfId="0" applyFont="1" applyBorder="1"/>
    <xf numFmtId="165" fontId="0" fillId="0" borderId="1" xfId="0" applyNumberFormat="1" applyBorder="1"/>
    <xf numFmtId="0" fontId="6" fillId="0" borderId="0" xfId="0" applyFont="1"/>
    <xf numFmtId="0" fontId="7" fillId="0" borderId="0" xfId="0" applyFont="1"/>
    <xf numFmtId="42" fontId="0" fillId="0" borderId="1" xfId="1" applyFont="1" applyBorder="1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42" fontId="0" fillId="0" borderId="0" xfId="0" applyNumberFormat="1"/>
    <xf numFmtId="42" fontId="0" fillId="0" borderId="1" xfId="1" applyFont="1" applyFill="1" applyBorder="1" applyAlignment="1">
      <alignment horizontal="right"/>
    </xf>
    <xf numFmtId="42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166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3" fillId="5" borderId="1" xfId="0" applyFont="1" applyFill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Q8"/>
  <sheetViews>
    <sheetView showGridLines="0" zoomScale="80" zoomScaleNormal="80" workbookViewId="0">
      <selection activeCell="J6" sqref="J6:Q6"/>
    </sheetView>
  </sheetViews>
  <sheetFormatPr defaultRowHeight="14.4" x14ac:dyDescent="0.3"/>
  <sheetData>
    <row r="6" spans="8:17" ht="18" x14ac:dyDescent="0.35">
      <c r="H6" s="34" t="s">
        <v>0</v>
      </c>
      <c r="I6" s="34"/>
      <c r="J6" s="32" t="s">
        <v>5</v>
      </c>
      <c r="K6" s="32"/>
      <c r="L6" s="32"/>
      <c r="M6" s="32"/>
      <c r="N6" s="32"/>
      <c r="O6" s="32"/>
      <c r="P6" s="32"/>
      <c r="Q6" s="32"/>
    </row>
    <row r="7" spans="8:17" ht="18" x14ac:dyDescent="0.35">
      <c r="H7" s="34" t="s">
        <v>1</v>
      </c>
      <c r="I7" s="34"/>
      <c r="J7" s="33" t="s">
        <v>3</v>
      </c>
      <c r="K7" s="33"/>
      <c r="L7" s="33"/>
      <c r="M7" s="33"/>
      <c r="N7" s="33"/>
      <c r="O7" s="33"/>
      <c r="P7" s="33"/>
      <c r="Q7" s="33"/>
    </row>
    <row r="8" spans="8:17" ht="18" x14ac:dyDescent="0.35">
      <c r="H8" s="34" t="s">
        <v>2</v>
      </c>
      <c r="I8" s="34"/>
      <c r="J8" s="33" t="s">
        <v>4</v>
      </c>
      <c r="K8" s="33"/>
      <c r="L8" s="33"/>
      <c r="M8" s="33"/>
      <c r="N8" s="33"/>
      <c r="O8" s="33"/>
      <c r="P8" s="33"/>
      <c r="Q8" s="33"/>
    </row>
  </sheetData>
  <mergeCells count="6">
    <mergeCell ref="J6:Q6"/>
    <mergeCell ref="J7:Q7"/>
    <mergeCell ref="J8:Q8"/>
    <mergeCell ref="H6:I6"/>
    <mergeCell ref="H7:I7"/>
    <mergeCell ref="H8:I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topLeftCell="B1" zoomScale="80" zoomScaleNormal="80" workbookViewId="0">
      <selection activeCell="J24" sqref="J24"/>
    </sheetView>
  </sheetViews>
  <sheetFormatPr defaultRowHeight="14.4" x14ac:dyDescent="0.3"/>
  <cols>
    <col min="2" max="3" width="14" customWidth="1"/>
    <col min="4" max="4" width="17.44140625" customWidth="1"/>
    <col min="5" max="6" width="16.6640625" customWidth="1"/>
    <col min="10" max="10" width="32.44140625" bestFit="1" customWidth="1"/>
    <col min="11" max="11" width="33.109375" bestFit="1" customWidth="1"/>
    <col min="12" max="12" width="14.5546875" bestFit="1" customWidth="1"/>
    <col min="13" max="13" width="13.44140625" bestFit="1" customWidth="1"/>
    <col min="14" max="14" width="22.44140625" bestFit="1" customWidth="1"/>
  </cols>
  <sheetData>
    <row r="1" spans="1:20" ht="21" x14ac:dyDescent="0.4">
      <c r="A1" s="23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6"/>
      <c r="P1" s="6"/>
      <c r="Q1" s="6"/>
      <c r="R1" s="6"/>
      <c r="S1" s="6"/>
      <c r="T1" s="6"/>
    </row>
    <row r="2" spans="1:20" ht="16.2" thickBot="1" x14ac:dyDescent="0.35">
      <c r="A2" s="36" t="s">
        <v>24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7"/>
      <c r="P2" s="7"/>
      <c r="Q2" s="7"/>
      <c r="R2" s="7"/>
      <c r="S2" s="7"/>
      <c r="T2" s="7"/>
    </row>
    <row r="3" spans="1:20" ht="15" thickTop="1" x14ac:dyDescent="0.3"/>
    <row r="5" spans="1:20" ht="15" customHeight="1" x14ac:dyDescent="0.3">
      <c r="A5" s="35" t="s">
        <v>104</v>
      </c>
      <c r="B5" s="35" t="s">
        <v>95</v>
      </c>
      <c r="C5" s="35" t="s">
        <v>96</v>
      </c>
      <c r="D5" s="35" t="s">
        <v>97</v>
      </c>
      <c r="E5" s="35" t="s">
        <v>98</v>
      </c>
      <c r="F5" s="35"/>
      <c r="H5" s="37" t="s">
        <v>101</v>
      </c>
      <c r="I5" s="37"/>
      <c r="J5" s="11" t="s">
        <v>106</v>
      </c>
      <c r="K5" s="11" t="s">
        <v>107</v>
      </c>
      <c r="L5" s="11" t="s">
        <v>108</v>
      </c>
      <c r="M5" s="11" t="s">
        <v>109</v>
      </c>
      <c r="N5" s="11" t="s">
        <v>110</v>
      </c>
    </row>
    <row r="6" spans="1:20" x14ac:dyDescent="0.3">
      <c r="A6" s="35"/>
      <c r="B6" s="35"/>
      <c r="C6" s="35"/>
      <c r="D6" s="35"/>
      <c r="E6" s="35"/>
      <c r="F6" s="35"/>
      <c r="H6" s="37" t="s">
        <v>102</v>
      </c>
      <c r="I6" s="37"/>
      <c r="J6" s="2" t="s">
        <v>91</v>
      </c>
      <c r="K6" s="2" t="s">
        <v>103</v>
      </c>
      <c r="L6" s="2" t="s">
        <v>92</v>
      </c>
      <c r="M6" s="2" t="s">
        <v>93</v>
      </c>
      <c r="N6" s="2" t="s">
        <v>94</v>
      </c>
    </row>
    <row r="7" spans="1:20" x14ac:dyDescent="0.3">
      <c r="A7" s="35"/>
      <c r="B7" s="35"/>
      <c r="C7" s="35"/>
      <c r="D7" s="35"/>
      <c r="E7" s="9" t="s">
        <v>99</v>
      </c>
      <c r="F7" s="9" t="s">
        <v>100</v>
      </c>
      <c r="H7" s="37" t="s">
        <v>146</v>
      </c>
      <c r="I7" s="37"/>
      <c r="J7" s="14">
        <v>350000</v>
      </c>
      <c r="K7" s="14">
        <v>300000</v>
      </c>
      <c r="L7" s="14">
        <v>250000</v>
      </c>
      <c r="M7" s="14">
        <v>600000</v>
      </c>
      <c r="N7" s="14">
        <v>500000</v>
      </c>
    </row>
    <row r="8" spans="1:20" x14ac:dyDescent="0.3">
      <c r="A8" s="3">
        <v>1</v>
      </c>
      <c r="B8" s="2" t="s">
        <v>59</v>
      </c>
      <c r="C8" s="2" t="s">
        <v>63</v>
      </c>
      <c r="D8" s="8">
        <v>1200000</v>
      </c>
      <c r="E8" s="8">
        <v>300000</v>
      </c>
      <c r="F8" s="8">
        <v>600000</v>
      </c>
      <c r="H8" s="10"/>
      <c r="I8" s="10"/>
    </row>
    <row r="9" spans="1:20" x14ac:dyDescent="0.3">
      <c r="A9" s="3">
        <v>2</v>
      </c>
      <c r="B9" s="2" t="s">
        <v>60</v>
      </c>
      <c r="C9" s="2" t="s">
        <v>64</v>
      </c>
      <c r="D9" s="8">
        <v>750000</v>
      </c>
      <c r="E9" s="8">
        <v>350000</v>
      </c>
      <c r="F9" s="8">
        <v>500000</v>
      </c>
    </row>
    <row r="10" spans="1:20" x14ac:dyDescent="0.3">
      <c r="A10" s="3">
        <v>3</v>
      </c>
      <c r="B10" s="2" t="s">
        <v>61</v>
      </c>
      <c r="C10" s="2" t="s">
        <v>65</v>
      </c>
      <c r="D10" s="8">
        <v>500000</v>
      </c>
      <c r="E10" s="8">
        <v>200000</v>
      </c>
      <c r="F10" s="8">
        <v>450000</v>
      </c>
    </row>
    <row r="11" spans="1:20" x14ac:dyDescent="0.3">
      <c r="A11" s="3">
        <v>4</v>
      </c>
      <c r="B11" s="2" t="s">
        <v>62</v>
      </c>
      <c r="C11" s="2" t="s">
        <v>66</v>
      </c>
      <c r="D11" s="8">
        <v>250000</v>
      </c>
      <c r="E11" s="8">
        <v>150000</v>
      </c>
      <c r="F11" s="8">
        <v>350000</v>
      </c>
    </row>
    <row r="15" spans="1:20" x14ac:dyDescent="0.3">
      <c r="E15" s="13"/>
    </row>
  </sheetData>
  <mergeCells count="10">
    <mergeCell ref="A5:A7"/>
    <mergeCell ref="A1:N1"/>
    <mergeCell ref="A2:N2"/>
    <mergeCell ref="H7:I7"/>
    <mergeCell ref="D5:D7"/>
    <mergeCell ref="H5:I5"/>
    <mergeCell ref="H6:I6"/>
    <mergeCell ref="E5:F6"/>
    <mergeCell ref="B5:B7"/>
    <mergeCell ref="C5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7"/>
  <sheetViews>
    <sheetView tabSelected="1" zoomScale="80" zoomScaleNormal="8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J9" sqref="J9"/>
    </sheetView>
  </sheetViews>
  <sheetFormatPr defaultRowHeight="14.4" x14ac:dyDescent="0.3"/>
  <cols>
    <col min="1" max="1" width="6.88671875" customWidth="1"/>
    <col min="2" max="2" width="18.109375" bestFit="1" customWidth="1"/>
    <col min="3" max="3" width="21.77734375" customWidth="1"/>
    <col min="4" max="4" width="10.6640625" customWidth="1"/>
    <col min="5" max="5" width="19.5546875" bestFit="1" customWidth="1"/>
    <col min="6" max="6" width="14.21875" customWidth="1"/>
    <col min="7" max="7" width="29.88671875" bestFit="1" customWidth="1"/>
    <col min="8" max="8" width="18.6640625" bestFit="1" customWidth="1"/>
    <col min="9" max="9" width="18.109375" customWidth="1"/>
    <col min="10" max="10" width="41" bestFit="1" customWidth="1"/>
    <col min="11" max="12" width="16" customWidth="1"/>
    <col min="13" max="13" width="17.21875" customWidth="1"/>
    <col min="14" max="17" width="18.109375" customWidth="1"/>
    <col min="18" max="18" width="18.5546875" customWidth="1"/>
    <col min="19" max="19" width="18.33203125" customWidth="1"/>
  </cols>
  <sheetData>
    <row r="1" spans="1:19" ht="21" x14ac:dyDescent="0.4">
      <c r="A1" s="23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5.6" x14ac:dyDescent="0.3">
      <c r="A2" s="24" t="s">
        <v>24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ht="18.600000000000001" thickBot="1" x14ac:dyDescent="0.4">
      <c r="A3" s="25" t="s">
        <v>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ht="15" thickTop="1" x14ac:dyDescent="0.3">
      <c r="A4" s="1"/>
    </row>
    <row r="5" spans="1:19" ht="15" customHeight="1" x14ac:dyDescent="0.3">
      <c r="A5" s="21" t="s">
        <v>7</v>
      </c>
      <c r="B5" s="21" t="s">
        <v>8</v>
      </c>
      <c r="C5" s="21" t="s">
        <v>9</v>
      </c>
      <c r="D5" s="21" t="s">
        <v>10</v>
      </c>
      <c r="E5" s="21" t="s">
        <v>11</v>
      </c>
      <c r="F5" s="21" t="s">
        <v>143</v>
      </c>
      <c r="G5" s="21" t="s">
        <v>17</v>
      </c>
      <c r="H5" s="21" t="s">
        <v>12</v>
      </c>
      <c r="I5" s="21" t="s">
        <v>13</v>
      </c>
      <c r="J5" s="21" t="s">
        <v>14</v>
      </c>
      <c r="K5" s="21" t="s">
        <v>15</v>
      </c>
      <c r="L5" s="21" t="s">
        <v>16</v>
      </c>
      <c r="M5" s="21" t="s">
        <v>18</v>
      </c>
      <c r="N5" s="21" t="s">
        <v>145</v>
      </c>
      <c r="O5" s="21" t="s">
        <v>21</v>
      </c>
      <c r="P5" s="21" t="s">
        <v>20</v>
      </c>
      <c r="Q5" s="21" t="s">
        <v>23</v>
      </c>
      <c r="R5" s="21" t="s">
        <v>141</v>
      </c>
      <c r="S5" s="21" t="s">
        <v>22</v>
      </c>
    </row>
    <row r="6" spans="1:19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16">
        <v>1</v>
      </c>
      <c r="B7" s="17" t="s">
        <v>25</v>
      </c>
      <c r="C7" s="17" t="s">
        <v>111</v>
      </c>
      <c r="D7" s="3" t="str">
        <f>MID(B7,4,1)</f>
        <v>L</v>
      </c>
      <c r="E7" s="5" t="str">
        <f>MID(B7,6,10)</f>
        <v>15/04/1990</v>
      </c>
      <c r="F7" s="2" t="str">
        <f ca="1">DATEDIF(E7,TODAY(),"Y")&amp;" Tahun"</f>
        <v>35 Tahun</v>
      </c>
      <c r="G7" s="4" t="str">
        <f>CONCATENATE(E7,"_",B7)</f>
        <v>15/04/1990_Jl-L-15/04/1990-B</v>
      </c>
      <c r="H7" s="17" t="s">
        <v>56</v>
      </c>
      <c r="I7" s="2" t="str">
        <f>INDEX(Data_Acuan!$C$8:$C$11,MATCH(LEFT(Soal!H7,3),Data_Acuan!$B$8:$B$11,0))</f>
        <v>Kelas 3</v>
      </c>
      <c r="J7" s="12" t="str">
        <f>CONCATENATE(HLOOKUP(MID(H7,16,1),Data_Acuan!$H$5:$N$7,2,0)&amp;" - "&amp;IF(RIGHT(H7,1)="R","Ringan","Berat"))</f>
        <v>Pneumonia (Radang Paru-paru) - Ringan</v>
      </c>
      <c r="K7" s="20" t="str">
        <f>MID(H7,7,8)</f>
        <v>01/05/25</v>
      </c>
      <c r="L7" s="5" cm="1">
        <f t="array" ref="L7">_xlfn.IFS(RIGHT(J7,6)="Ringan",K7+3,RIGHT(J7,5)="Berat",K7+7)</f>
        <v>45781</v>
      </c>
      <c r="M7" s="3" t="str">
        <f>L7-K7&amp;" Hari"</f>
        <v>3 Hari</v>
      </c>
      <c r="N7" s="8">
        <f>VLOOKUP(I7,Data_Acuan!$C$8:$F$11,2,0)*LEFT(M7,1)</f>
        <v>750000</v>
      </c>
      <c r="O7" s="8">
        <f>HLOOKUP(MID(H7,16,1),Data_Acuan!$H$5:$N$7,3,0)</f>
        <v>350000</v>
      </c>
      <c r="P7" s="8">
        <f>INDEX(Data_Acuan!$E$8:$F$11,MATCH(Soal!I7,Data_Acuan!$C$8:$C$11,0),MATCH(IF(RIGHT(H7,1)="R","Ringan","Berat"),Data_Acuan!$E$7:$F$7,0))</f>
        <v>150000</v>
      </c>
      <c r="Q7" s="15">
        <f>SUM(N7:P7)</f>
        <v>1250000</v>
      </c>
      <c r="R7" s="15" t="str">
        <f>IF(RIGHT(B7,1)="B","BPJS","Mandiri")</f>
        <v>BPJS</v>
      </c>
      <c r="S7" s="8" cm="1">
        <f t="array" ref="S7">_xlfn.IFS(R7="BPJS",(20%*(N7+O7)+P7+Q7*10%),R7="Mandiri",SUM(N7:P7)+Q7*10%)</f>
        <v>495000</v>
      </c>
    </row>
    <row r="8" spans="1:19" x14ac:dyDescent="0.3">
      <c r="A8" s="16">
        <v>2</v>
      </c>
      <c r="B8" s="17" t="s">
        <v>26</v>
      </c>
      <c r="C8" s="17" t="s">
        <v>112</v>
      </c>
      <c r="D8" s="3" t="str">
        <f t="shared" ref="D8:D36" si="0">MID(B8,4,1)</f>
        <v>P</v>
      </c>
      <c r="E8" s="5" t="str">
        <f t="shared" ref="E8:E36" si="1">MID(B8,6,10)</f>
        <v>22/09/1996</v>
      </c>
      <c r="F8" s="2" t="str">
        <f t="shared" ref="F8:F36" ca="1" si="2">DATEDIF(E8,TODAY(),"Y")&amp;" Tahun"</f>
        <v>29 Tahun</v>
      </c>
      <c r="G8" s="4" t="str">
        <f t="shared" ref="G8:G36" si="3">CONCATENATE(E8,"_",B8)</f>
        <v>22/09/1996_Jl-P-22/09/1996-M</v>
      </c>
      <c r="H8" s="17" t="s">
        <v>55</v>
      </c>
      <c r="I8" s="2" t="str">
        <f>INDEX(Data_Acuan!$C$8:$C$11,MATCH(LEFT(Soal!H8,3),Data_Acuan!$B$8:$B$11,0))</f>
        <v>Kelas 1</v>
      </c>
      <c r="J8" s="12" t="str">
        <f>CONCATENATE(HLOOKUP(MID(H8,16,1),Data_Acuan!$H$5:$N$7,2,0)&amp;" - "&amp;IF(RIGHT(H8,1)="R","Ringan","Berat"))</f>
        <v>Demam Berdarah Dengue (DBD) - Berat</v>
      </c>
      <c r="K8" s="20" t="str">
        <f t="shared" ref="K8:K36" si="4">MID(H8,7,8)</f>
        <v>01/05/25</v>
      </c>
      <c r="L8" s="5" cm="1">
        <f t="array" ref="L8">_xlfn.IFS(RIGHT(J8,6)="Ringan",K8+3,RIGHT(J8,5)="Berat",K8+7)</f>
        <v>45785</v>
      </c>
      <c r="M8" s="3" t="str">
        <f t="shared" ref="M8:M36" si="5">L8-K8&amp;" Hari"</f>
        <v>7 Hari</v>
      </c>
      <c r="N8" s="8">
        <f>VLOOKUP(I8,Data_Acuan!$C$8:$F$11,2,0)*LEFT(M8,1)</f>
        <v>5250000</v>
      </c>
      <c r="O8" s="8">
        <f>HLOOKUP(MID(H8,16,1),Data_Acuan!$H$5:$N$7,3,0)</f>
        <v>300000</v>
      </c>
      <c r="P8" s="8">
        <f>INDEX(Data_Acuan!$E$8:$F$11,MATCH(Soal!I8,Data_Acuan!$C$8:$C$11,0),MATCH(IF(RIGHT(H8,1)="R","Ringan","Berat"),Data_Acuan!$E$7:$F$7,0))</f>
        <v>500000</v>
      </c>
      <c r="Q8" s="15">
        <f t="shared" ref="Q8:Q36" si="6">SUM(N8:P8)</f>
        <v>6050000</v>
      </c>
      <c r="R8" s="15" t="str">
        <f t="shared" ref="R8:R36" si="7">IF(RIGHT(B8,1)="B","BPJS","Mandiri")</f>
        <v>Mandiri</v>
      </c>
      <c r="S8" s="8" cm="1">
        <f t="array" ref="S8">_xlfn.IFS(R8="BPJS",(20%*(N8+O8)+P8+Q8*10%),R8="Mandiri",SUM(N8:P8)+Q8*10%)</f>
        <v>6655000</v>
      </c>
    </row>
    <row r="9" spans="1:19" x14ac:dyDescent="0.3">
      <c r="A9" s="16">
        <v>3</v>
      </c>
      <c r="B9" s="17" t="s">
        <v>27</v>
      </c>
      <c r="C9" s="17" t="s">
        <v>113</v>
      </c>
      <c r="D9" s="3" t="str">
        <f t="shared" si="0"/>
        <v>P</v>
      </c>
      <c r="E9" s="5" t="str">
        <f t="shared" si="1"/>
        <v>03/05/1992</v>
      </c>
      <c r="F9" s="2" t="str">
        <f t="shared" ca="1" si="2"/>
        <v>33 Tahun</v>
      </c>
      <c r="G9" s="4" t="str">
        <f t="shared" si="3"/>
        <v>03/05/1992_Jl-P-03/05/1992-B</v>
      </c>
      <c r="H9" s="17" t="s">
        <v>105</v>
      </c>
      <c r="I9" s="2" t="str">
        <f>INDEX(Data_Acuan!$C$8:$C$11,MATCH(LEFT(Soal!H9,3),Data_Acuan!$B$8:$B$11,0))</f>
        <v>Kelas 2</v>
      </c>
      <c r="J9" s="12" t="str">
        <f>CONCATENATE(HLOOKUP(MID(H9,16,1),Data_Acuan!$H$5:$N$7,2,0)&amp;" - "&amp;IF(RIGHT(H9,1)="R","Ringan","Berat"))</f>
        <v>Demam Berdarah Dengue (DBD) - Ringan</v>
      </c>
      <c r="K9" s="20" t="str">
        <f t="shared" si="4"/>
        <v>01/05/25</v>
      </c>
      <c r="L9" s="5" cm="1">
        <f t="array" ref="L9">_xlfn.IFS(RIGHT(J9,6)="Ringan",K9+3,RIGHT(J9,5)="Berat",K9+7)</f>
        <v>45781</v>
      </c>
      <c r="M9" s="3" t="str">
        <f t="shared" si="5"/>
        <v>3 Hari</v>
      </c>
      <c r="N9" s="8">
        <f>VLOOKUP(I9,Data_Acuan!$C$8:$F$11,2,0)*LEFT(M9,1)</f>
        <v>1500000</v>
      </c>
      <c r="O9" s="8">
        <f>HLOOKUP(MID(H9,16,1),Data_Acuan!$H$5:$N$7,3,0)</f>
        <v>300000</v>
      </c>
      <c r="P9" s="8">
        <f>INDEX(Data_Acuan!$E$8:$F$11,MATCH(Soal!I9,Data_Acuan!$C$8:$C$11,0),MATCH(IF(RIGHT(H9,1)="R","Ringan","Berat"),Data_Acuan!$E$7:$F$7,0))</f>
        <v>200000</v>
      </c>
      <c r="Q9" s="15">
        <f t="shared" si="6"/>
        <v>2000000</v>
      </c>
      <c r="R9" s="15" t="str">
        <f t="shared" si="7"/>
        <v>BPJS</v>
      </c>
      <c r="S9" s="8" cm="1">
        <f t="array" ref="S9">_xlfn.IFS(R9="BPJS",(20%*(N9+O9)+P9+Q9*10%),R9="Mandiri",SUM(N9:P9)+Q9*10%)</f>
        <v>760000</v>
      </c>
    </row>
    <row r="10" spans="1:19" x14ac:dyDescent="0.3">
      <c r="A10" s="16">
        <v>4</v>
      </c>
      <c r="B10" s="17" t="s">
        <v>28</v>
      </c>
      <c r="C10" s="17" t="s">
        <v>114</v>
      </c>
      <c r="D10" s="3" t="str">
        <f t="shared" si="0"/>
        <v>P</v>
      </c>
      <c r="E10" s="5" t="str">
        <f t="shared" si="1"/>
        <v>17/01/1998</v>
      </c>
      <c r="F10" s="2" t="str">
        <f t="shared" ca="1" si="2"/>
        <v>28 Tahun</v>
      </c>
      <c r="G10" s="4" t="str">
        <f t="shared" si="3"/>
        <v>17/01/1998_Jl-P-17/01/1998-M</v>
      </c>
      <c r="H10" s="17" t="s">
        <v>57</v>
      </c>
      <c r="I10" s="2" t="str">
        <f>INDEX(Data_Acuan!$C$8:$C$11,MATCH(LEFT(Soal!H10,3),Data_Acuan!$B$8:$B$11,0))</f>
        <v>VIP</v>
      </c>
      <c r="J10" s="12" t="str">
        <f>CONCATENATE(HLOOKUP(MID(H10,16,1),Data_Acuan!$H$5:$N$7,2,0)&amp;" - "&amp;IF(RIGHT(H10,1)="R","Ringan","Berat"))</f>
        <v>Typus (Tifoid) - Berat</v>
      </c>
      <c r="K10" s="20" t="str">
        <f t="shared" si="4"/>
        <v>02/05/25</v>
      </c>
      <c r="L10" s="5" cm="1">
        <f t="array" ref="L10">_xlfn.IFS(RIGHT(J10,6)="Ringan",K10+3,RIGHT(J10,5)="Berat",K10+7)</f>
        <v>45786</v>
      </c>
      <c r="M10" s="3" t="str">
        <f t="shared" si="5"/>
        <v>7 Hari</v>
      </c>
      <c r="N10" s="8">
        <f>VLOOKUP(I10,Data_Acuan!$C$8:$F$11,2,0)*LEFT(M10,1)</f>
        <v>8400000</v>
      </c>
      <c r="O10" s="8">
        <f>HLOOKUP(MID(H10,16,1),Data_Acuan!$H$5:$N$7,3,0)</f>
        <v>250000</v>
      </c>
      <c r="P10" s="8">
        <f>INDEX(Data_Acuan!$E$8:$F$11,MATCH(Soal!I10,Data_Acuan!$C$8:$C$11,0),MATCH(IF(RIGHT(H10,1)="R","Ringan","Berat"),Data_Acuan!$E$7:$F$7,0))</f>
        <v>600000</v>
      </c>
      <c r="Q10" s="15">
        <f t="shared" si="6"/>
        <v>9250000</v>
      </c>
      <c r="R10" s="15" t="str">
        <f t="shared" si="7"/>
        <v>Mandiri</v>
      </c>
      <c r="S10" s="8" cm="1">
        <f t="array" ref="S10">_xlfn.IFS(R10="BPJS",(20%*(N10+O10)+P10+Q10*10%),R10="Mandiri",SUM(N10:P10)+Q10*10%)</f>
        <v>10175000</v>
      </c>
    </row>
    <row r="11" spans="1:19" x14ac:dyDescent="0.3">
      <c r="A11" s="16">
        <v>5</v>
      </c>
      <c r="B11" s="17" t="s">
        <v>29</v>
      </c>
      <c r="C11" s="17" t="s">
        <v>115</v>
      </c>
      <c r="D11" s="3" t="str">
        <f t="shared" si="0"/>
        <v>L</v>
      </c>
      <c r="E11" s="5" t="str">
        <f t="shared" si="1"/>
        <v>10/12/1987</v>
      </c>
      <c r="F11" s="2" t="str">
        <f t="shared" ca="1" si="2"/>
        <v>38 Tahun</v>
      </c>
      <c r="G11" s="4" t="str">
        <f t="shared" si="3"/>
        <v>10/12/1987_Jl-L-10/12/1987-M</v>
      </c>
      <c r="H11" s="17" t="s">
        <v>58</v>
      </c>
      <c r="I11" s="2" t="str">
        <f>INDEX(Data_Acuan!$C$8:$C$11,MATCH(LEFT(Soal!H11,3),Data_Acuan!$B$8:$B$11,0))</f>
        <v>VIP</v>
      </c>
      <c r="J11" s="12" t="str">
        <f>CONCATENATE(HLOOKUP(MID(H11,16,1),Data_Acuan!$H$5:$N$7,2,0)&amp;" - "&amp;IF(RIGHT(H11,1)="R","Ringan","Berat"))</f>
        <v>Gagal Ginjal - Berat</v>
      </c>
      <c r="K11" s="20" t="str">
        <f t="shared" si="4"/>
        <v>03/05/25</v>
      </c>
      <c r="L11" s="5" cm="1">
        <f t="array" ref="L11">_xlfn.IFS(RIGHT(J11,6)="Ringan",K11+3,RIGHT(J11,5)="Berat",K11+7)</f>
        <v>45787</v>
      </c>
      <c r="M11" s="3" t="str">
        <f t="shared" si="5"/>
        <v>7 Hari</v>
      </c>
      <c r="N11" s="8">
        <f>VLOOKUP(I11,Data_Acuan!$C$8:$F$11,2,0)*LEFT(M11,1)</f>
        <v>8400000</v>
      </c>
      <c r="O11" s="8">
        <f>HLOOKUP(MID(H11,16,1),Data_Acuan!$H$5:$N$7,3,0)</f>
        <v>600000</v>
      </c>
      <c r="P11" s="8">
        <f>INDEX(Data_Acuan!$E$8:$F$11,MATCH(Soal!I11,Data_Acuan!$C$8:$C$11,0),MATCH(IF(RIGHT(H11,1)="R","Ringan","Berat"),Data_Acuan!$E$7:$F$7,0))</f>
        <v>600000</v>
      </c>
      <c r="Q11" s="15">
        <f t="shared" si="6"/>
        <v>9600000</v>
      </c>
      <c r="R11" s="15" t="str">
        <f t="shared" si="7"/>
        <v>Mandiri</v>
      </c>
      <c r="S11" s="8" cm="1">
        <f t="array" ref="S11">_xlfn.IFS(R11="BPJS",(20%*(N11+O11)+P11+Q11*10%),R11="Mandiri",SUM(N11:P11)+Q11*10%)</f>
        <v>10560000</v>
      </c>
    </row>
    <row r="12" spans="1:19" x14ac:dyDescent="0.3">
      <c r="A12" s="16">
        <v>6</v>
      </c>
      <c r="B12" s="17" t="s">
        <v>30</v>
      </c>
      <c r="C12" s="17" t="s">
        <v>116</v>
      </c>
      <c r="D12" s="3" t="str">
        <f t="shared" si="0"/>
        <v>L</v>
      </c>
      <c r="E12" s="5" t="str">
        <f t="shared" si="1"/>
        <v>01/01/2000</v>
      </c>
      <c r="F12" s="2" t="str">
        <f t="shared" ca="1" si="2"/>
        <v>26 Tahun</v>
      </c>
      <c r="G12" s="4" t="str">
        <f t="shared" si="3"/>
        <v>01/01/2000_Jl-L-01/01/2000-B</v>
      </c>
      <c r="H12" s="17" t="s">
        <v>67</v>
      </c>
      <c r="I12" s="2" t="str">
        <f>INDEX(Data_Acuan!$C$8:$C$11,MATCH(LEFT(Soal!H12,3),Data_Acuan!$B$8:$B$11,0))</f>
        <v>Kelas 2</v>
      </c>
      <c r="J12" s="12" t="str">
        <f>CONCATENATE(HLOOKUP(MID(H12,16,1),Data_Acuan!$H$5:$N$7,2,0)&amp;" - "&amp;IF(RIGHT(H12,1)="R","Ringan","Berat"))</f>
        <v>Gagal Ginjal - Ringan</v>
      </c>
      <c r="K12" s="20" t="str">
        <f t="shared" si="4"/>
        <v>05/05/25</v>
      </c>
      <c r="L12" s="5" cm="1">
        <f t="array" ref="L12">_xlfn.IFS(RIGHT(J12,6)="Ringan",K12+3,RIGHT(J12,5)="Berat",K12+7)</f>
        <v>45785</v>
      </c>
      <c r="M12" s="3" t="str">
        <f t="shared" si="5"/>
        <v>3 Hari</v>
      </c>
      <c r="N12" s="8">
        <f>VLOOKUP(I12,Data_Acuan!$C$8:$F$11,2,0)*LEFT(M12,1)</f>
        <v>1500000</v>
      </c>
      <c r="O12" s="8">
        <f>HLOOKUP(MID(H12,16,1),Data_Acuan!$H$5:$N$7,3,0)</f>
        <v>600000</v>
      </c>
      <c r="P12" s="8">
        <f>INDEX(Data_Acuan!$E$8:$F$11,MATCH(Soal!I12,Data_Acuan!$C$8:$C$11,0),MATCH(IF(RIGHT(H12,1)="R","Ringan","Berat"),Data_Acuan!$E$7:$F$7,0))</f>
        <v>200000</v>
      </c>
      <c r="Q12" s="15">
        <f t="shared" si="6"/>
        <v>2300000</v>
      </c>
      <c r="R12" s="15" t="str">
        <f t="shared" si="7"/>
        <v>BPJS</v>
      </c>
      <c r="S12" s="8" cm="1">
        <f t="array" ref="S12">_xlfn.IFS(R12="BPJS",(20%*(N12+O12)+P12+Q12*10%),R12="Mandiri",SUM(N12:P12)+Q12*10%)</f>
        <v>850000</v>
      </c>
    </row>
    <row r="13" spans="1:19" x14ac:dyDescent="0.3">
      <c r="A13" s="16">
        <v>7</v>
      </c>
      <c r="B13" s="17" t="s">
        <v>31</v>
      </c>
      <c r="C13" s="17" t="s">
        <v>117</v>
      </c>
      <c r="D13" s="3" t="str">
        <f t="shared" si="0"/>
        <v>P</v>
      </c>
      <c r="E13" s="5" t="str">
        <f t="shared" si="1"/>
        <v>30/11/1999</v>
      </c>
      <c r="F13" s="2" t="str">
        <f t="shared" ca="1" si="2"/>
        <v>26 Tahun</v>
      </c>
      <c r="G13" s="4" t="str">
        <f t="shared" si="3"/>
        <v>30/11/1999_Jl-P-30/11/1999-M</v>
      </c>
      <c r="H13" s="17" t="s">
        <v>68</v>
      </c>
      <c r="I13" s="2" t="str">
        <f>INDEX(Data_Acuan!$C$8:$C$11,MATCH(LEFT(Soal!H13,3),Data_Acuan!$B$8:$B$11,0))</f>
        <v>Kelas 1</v>
      </c>
      <c r="J13" s="12" t="str">
        <f>CONCATENATE(HLOOKUP(MID(H13,16,1),Data_Acuan!$H$5:$N$7,2,0)&amp;" - "&amp;IF(RIGHT(H13,1)="R","Ringan","Berat"))</f>
        <v>Pasca Operasi Caesar - Berat</v>
      </c>
      <c r="K13" s="20" t="str">
        <f t="shared" si="4"/>
        <v>07/05/25</v>
      </c>
      <c r="L13" s="5" cm="1">
        <f t="array" ref="L13">_xlfn.IFS(RIGHT(J13,6)="Ringan",K13+3,RIGHT(J13,5)="Berat",K13+7)</f>
        <v>45791</v>
      </c>
      <c r="M13" s="3" t="str">
        <f t="shared" si="5"/>
        <v>7 Hari</v>
      </c>
      <c r="N13" s="8">
        <f>VLOOKUP(I13,Data_Acuan!$C$8:$F$11,2,0)*LEFT(M13,1)</f>
        <v>5250000</v>
      </c>
      <c r="O13" s="8">
        <f>HLOOKUP(MID(H13,16,1),Data_Acuan!$H$5:$N$7,3,0)</f>
        <v>500000</v>
      </c>
      <c r="P13" s="8">
        <f>INDEX(Data_Acuan!$E$8:$F$11,MATCH(Soal!I13,Data_Acuan!$C$8:$C$11,0),MATCH(IF(RIGHT(H13,1)="R","Ringan","Berat"),Data_Acuan!$E$7:$F$7,0))</f>
        <v>500000</v>
      </c>
      <c r="Q13" s="15">
        <f t="shared" si="6"/>
        <v>6250000</v>
      </c>
      <c r="R13" s="15" t="str">
        <f t="shared" si="7"/>
        <v>Mandiri</v>
      </c>
      <c r="S13" s="8" cm="1">
        <f t="array" ref="S13">_xlfn.IFS(R13="BPJS",(20%*(N13+O13)+P13+Q13*10%),R13="Mandiri",SUM(N13:P13)+Q13*10%)</f>
        <v>6875000</v>
      </c>
    </row>
    <row r="14" spans="1:19" x14ac:dyDescent="0.3">
      <c r="A14" s="16">
        <v>8</v>
      </c>
      <c r="B14" s="17" t="s">
        <v>32</v>
      </c>
      <c r="C14" s="17" t="s">
        <v>118</v>
      </c>
      <c r="D14" s="3" t="str">
        <f t="shared" si="0"/>
        <v>L</v>
      </c>
      <c r="E14" s="5" t="str">
        <f t="shared" si="1"/>
        <v>03/03/1998</v>
      </c>
      <c r="F14" s="2" t="str">
        <f t="shared" ca="1" si="2"/>
        <v>28 Tahun</v>
      </c>
      <c r="G14" s="4" t="str">
        <f t="shared" si="3"/>
        <v>03/03/1998_Jl-L-03/03/1998-B</v>
      </c>
      <c r="H14" s="17" t="s">
        <v>69</v>
      </c>
      <c r="I14" s="2" t="str">
        <f>INDEX(Data_Acuan!$C$8:$C$11,MATCH(LEFT(Soal!H14,3),Data_Acuan!$B$8:$B$11,0))</f>
        <v>Kelas 3</v>
      </c>
      <c r="J14" s="12" t="str">
        <f>CONCATENATE(HLOOKUP(MID(H14,16,1),Data_Acuan!$H$5:$N$7,2,0)&amp;" - "&amp;IF(RIGHT(H14,1)="R","Ringan","Berat"))</f>
        <v>Demam Berdarah Dengue (DBD) - Ringan</v>
      </c>
      <c r="K14" s="20" t="str">
        <f t="shared" si="4"/>
        <v>10/05/25</v>
      </c>
      <c r="L14" s="5" cm="1">
        <f t="array" ref="L14">_xlfn.IFS(RIGHT(J14,6)="Ringan",K14+3,RIGHT(J14,5)="Berat",K14+7)</f>
        <v>45790</v>
      </c>
      <c r="M14" s="3" t="str">
        <f t="shared" si="5"/>
        <v>3 Hari</v>
      </c>
      <c r="N14" s="8">
        <f>VLOOKUP(I14,Data_Acuan!$C$8:$F$11,2,0)*LEFT(M14,1)</f>
        <v>750000</v>
      </c>
      <c r="O14" s="8">
        <f>HLOOKUP(MID(H14,16,1),Data_Acuan!$H$5:$N$7,3,0)</f>
        <v>300000</v>
      </c>
      <c r="P14" s="8">
        <f>INDEX(Data_Acuan!$E$8:$F$11,MATCH(Soal!I14,Data_Acuan!$C$8:$C$11,0),MATCH(IF(RIGHT(H14,1)="R","Ringan","Berat"),Data_Acuan!$E$7:$F$7,0))</f>
        <v>150000</v>
      </c>
      <c r="Q14" s="15">
        <f t="shared" si="6"/>
        <v>1200000</v>
      </c>
      <c r="R14" s="15" t="str">
        <f t="shared" si="7"/>
        <v>BPJS</v>
      </c>
      <c r="S14" s="8" cm="1">
        <f t="array" ref="S14">_xlfn.IFS(R14="BPJS",(20%*(N14+O14)+P14+Q14*10%),R14="Mandiri",SUM(N14:P14)+Q14*10%)</f>
        <v>480000</v>
      </c>
    </row>
    <row r="15" spans="1:19" x14ac:dyDescent="0.3">
      <c r="A15" s="16">
        <v>9</v>
      </c>
      <c r="B15" s="17" t="s">
        <v>33</v>
      </c>
      <c r="C15" s="17" t="s">
        <v>119</v>
      </c>
      <c r="D15" s="3" t="str">
        <f t="shared" si="0"/>
        <v>L</v>
      </c>
      <c r="E15" s="5" t="str">
        <f t="shared" si="1"/>
        <v>05/12/1990</v>
      </c>
      <c r="F15" s="2" t="str">
        <f t="shared" ca="1" si="2"/>
        <v>35 Tahun</v>
      </c>
      <c r="G15" s="4" t="str">
        <f t="shared" si="3"/>
        <v>05/12/1990_Jl-L-05/12/1990-M</v>
      </c>
      <c r="H15" s="17" t="s">
        <v>70</v>
      </c>
      <c r="I15" s="2" t="str">
        <f>INDEX(Data_Acuan!$C$8:$C$11,MATCH(LEFT(Soal!H15,3),Data_Acuan!$B$8:$B$11,0))</f>
        <v>VIP</v>
      </c>
      <c r="J15" s="12" t="str">
        <f>CONCATENATE(HLOOKUP(MID(H15,16,1),Data_Acuan!$H$5:$N$7,2,0)&amp;" - "&amp;IF(RIGHT(H15,1)="R","Ringan","Berat"))</f>
        <v>Demam Berdarah Dengue (DBD) - Berat</v>
      </c>
      <c r="K15" s="20" t="str">
        <f t="shared" si="4"/>
        <v>10/05/25</v>
      </c>
      <c r="L15" s="5" cm="1">
        <f t="array" ref="L15">_xlfn.IFS(RIGHT(J15,6)="Ringan",K15+3,RIGHT(J15,5)="Berat",K15+7)</f>
        <v>45794</v>
      </c>
      <c r="M15" s="3" t="str">
        <f t="shared" si="5"/>
        <v>7 Hari</v>
      </c>
      <c r="N15" s="8">
        <f>VLOOKUP(I15,Data_Acuan!$C$8:$F$11,2,0)*LEFT(M15,1)</f>
        <v>8400000</v>
      </c>
      <c r="O15" s="8">
        <f>HLOOKUP(MID(H15,16,1),Data_Acuan!$H$5:$N$7,3,0)</f>
        <v>300000</v>
      </c>
      <c r="P15" s="8">
        <f>INDEX(Data_Acuan!$E$8:$F$11,MATCH(Soal!I15,Data_Acuan!$C$8:$C$11,0),MATCH(IF(RIGHT(H15,1)="R","Ringan","Berat"),Data_Acuan!$E$7:$F$7,0))</f>
        <v>600000</v>
      </c>
      <c r="Q15" s="15">
        <f t="shared" si="6"/>
        <v>9300000</v>
      </c>
      <c r="R15" s="15" t="str">
        <f t="shared" si="7"/>
        <v>Mandiri</v>
      </c>
      <c r="S15" s="8" cm="1">
        <f t="array" ref="S15">_xlfn.IFS(R15="BPJS",(20%*(N15+O15)+P15+Q15*10%),R15="Mandiri",SUM(N15:P15)+Q15*10%)</f>
        <v>10230000</v>
      </c>
    </row>
    <row r="16" spans="1:19" x14ac:dyDescent="0.3">
      <c r="A16" s="16">
        <v>10</v>
      </c>
      <c r="B16" s="17" t="s">
        <v>34</v>
      </c>
      <c r="C16" s="17" t="s">
        <v>120</v>
      </c>
      <c r="D16" s="3" t="str">
        <f t="shared" si="0"/>
        <v>P</v>
      </c>
      <c r="E16" s="5" t="str">
        <f t="shared" si="1"/>
        <v>12/10/1970</v>
      </c>
      <c r="F16" s="2" t="str">
        <f t="shared" ca="1" si="2"/>
        <v>55 Tahun</v>
      </c>
      <c r="G16" s="4" t="str">
        <f t="shared" si="3"/>
        <v>12/10/1970_Jl-P-12/10/1970-B</v>
      </c>
      <c r="H16" s="17" t="s">
        <v>71</v>
      </c>
      <c r="I16" s="2" t="str">
        <f>INDEX(Data_Acuan!$C$8:$C$11,MATCH(LEFT(Soal!H16,3),Data_Acuan!$B$8:$B$11,0))</f>
        <v>Kelas 2</v>
      </c>
      <c r="J16" s="12" t="str">
        <f>CONCATENATE(HLOOKUP(MID(H16,16,1),Data_Acuan!$H$5:$N$7,2,0)&amp;" - "&amp;IF(RIGHT(H16,1)="R","Ringan","Berat"))</f>
        <v>Pneumonia (Radang Paru-paru) - Ringan</v>
      </c>
      <c r="K16" s="20" t="str">
        <f t="shared" si="4"/>
        <v>13/05/25</v>
      </c>
      <c r="L16" s="5" cm="1">
        <f t="array" ref="L16">_xlfn.IFS(RIGHT(J16,6)="Ringan",K16+3,RIGHT(J16,5)="Berat",K16+7)</f>
        <v>45793</v>
      </c>
      <c r="M16" s="3" t="str">
        <f t="shared" si="5"/>
        <v>3 Hari</v>
      </c>
      <c r="N16" s="8">
        <f>VLOOKUP(I16,Data_Acuan!$C$8:$F$11,2,0)*LEFT(M16,1)</f>
        <v>1500000</v>
      </c>
      <c r="O16" s="8">
        <f>HLOOKUP(MID(H16,16,1),Data_Acuan!$H$5:$N$7,3,0)</f>
        <v>350000</v>
      </c>
      <c r="P16" s="8">
        <f>INDEX(Data_Acuan!$E$8:$F$11,MATCH(Soal!I16,Data_Acuan!$C$8:$C$11,0),MATCH(IF(RIGHT(H16,1)="R","Ringan","Berat"),Data_Acuan!$E$7:$F$7,0))</f>
        <v>200000</v>
      </c>
      <c r="Q16" s="15">
        <f t="shared" si="6"/>
        <v>2050000</v>
      </c>
      <c r="R16" s="15" t="str">
        <f t="shared" si="7"/>
        <v>BPJS</v>
      </c>
      <c r="S16" s="8" cm="1">
        <f t="array" ref="S16">_xlfn.IFS(R16="BPJS",(20%*(N16+O16)+P16+Q16*10%),R16="Mandiri",SUM(N16:P16)+Q16*10%)</f>
        <v>775000</v>
      </c>
    </row>
    <row r="17" spans="1:19" x14ac:dyDescent="0.3">
      <c r="A17" s="16">
        <v>11</v>
      </c>
      <c r="B17" s="17" t="s">
        <v>35</v>
      </c>
      <c r="C17" s="17" t="s">
        <v>121</v>
      </c>
      <c r="D17" s="3" t="str">
        <f t="shared" si="0"/>
        <v>P</v>
      </c>
      <c r="E17" s="5" t="str">
        <f t="shared" si="1"/>
        <v>16/07/1993</v>
      </c>
      <c r="F17" s="2" t="str">
        <f t="shared" ca="1" si="2"/>
        <v>32 Tahun</v>
      </c>
      <c r="G17" s="4" t="str">
        <f t="shared" si="3"/>
        <v>16/07/1993_Jl-P-16/07/1993-B</v>
      </c>
      <c r="H17" s="17" t="s">
        <v>72</v>
      </c>
      <c r="I17" s="2" t="str">
        <f>INDEX(Data_Acuan!$C$8:$C$11,MATCH(LEFT(Soal!H17,3),Data_Acuan!$B$8:$B$11,0))</f>
        <v>Kelas 2</v>
      </c>
      <c r="J17" s="12" t="str">
        <f>CONCATENATE(HLOOKUP(MID(H17,16,1),Data_Acuan!$H$5:$N$7,2,0)&amp;" - "&amp;IF(RIGHT(H17,1)="R","Ringan","Berat"))</f>
        <v>Pneumonia (Radang Paru-paru) - Ringan</v>
      </c>
      <c r="K17" s="20" t="str">
        <f t="shared" si="4"/>
        <v>15/05/25</v>
      </c>
      <c r="L17" s="5" cm="1">
        <f t="array" ref="L17">_xlfn.IFS(RIGHT(J17,6)="Ringan",K17+3,RIGHT(J17,5)="Berat",K17+7)</f>
        <v>45795</v>
      </c>
      <c r="M17" s="3" t="str">
        <f t="shared" si="5"/>
        <v>3 Hari</v>
      </c>
      <c r="N17" s="8">
        <f>VLOOKUP(I17,Data_Acuan!$C$8:$F$11,2,0)*LEFT(M17,1)</f>
        <v>1500000</v>
      </c>
      <c r="O17" s="8">
        <f>HLOOKUP(MID(H17,16,1),Data_Acuan!$H$5:$N$7,3,0)</f>
        <v>350000</v>
      </c>
      <c r="P17" s="8">
        <f>INDEX(Data_Acuan!$E$8:$F$11,MATCH(Soal!I17,Data_Acuan!$C$8:$C$11,0),MATCH(IF(RIGHT(H17,1)="R","Ringan","Berat"),Data_Acuan!$E$7:$F$7,0))</f>
        <v>200000</v>
      </c>
      <c r="Q17" s="15">
        <f t="shared" si="6"/>
        <v>2050000</v>
      </c>
      <c r="R17" s="15" t="str">
        <f t="shared" si="7"/>
        <v>BPJS</v>
      </c>
      <c r="S17" s="8" cm="1">
        <f t="array" ref="S17">_xlfn.IFS(R17="BPJS",(20%*(N17+O17)+P17+Q17*10%),R17="Mandiri",SUM(N17:P17)+Q17*10%)</f>
        <v>775000</v>
      </c>
    </row>
    <row r="18" spans="1:19" x14ac:dyDescent="0.3">
      <c r="A18" s="16">
        <v>12</v>
      </c>
      <c r="B18" s="17" t="s">
        <v>36</v>
      </c>
      <c r="C18" s="17" t="s">
        <v>122</v>
      </c>
      <c r="D18" s="3" t="str">
        <f t="shared" si="0"/>
        <v>P</v>
      </c>
      <c r="E18" s="5" t="str">
        <f t="shared" si="1"/>
        <v>20/01/1995</v>
      </c>
      <c r="F18" s="2" t="str">
        <f t="shared" ca="1" si="2"/>
        <v>31 Tahun</v>
      </c>
      <c r="G18" s="4" t="str">
        <f t="shared" si="3"/>
        <v>20/01/1995_Jl-P-20/01/1995-B</v>
      </c>
      <c r="H18" s="17" t="s">
        <v>73</v>
      </c>
      <c r="I18" s="2" t="str">
        <f>INDEX(Data_Acuan!$C$8:$C$11,MATCH(LEFT(Soal!H18,3),Data_Acuan!$B$8:$B$11,0))</f>
        <v>Kelas 3</v>
      </c>
      <c r="J18" s="12" t="str">
        <f>CONCATENATE(HLOOKUP(MID(H18,16,1),Data_Acuan!$H$5:$N$7,2,0)&amp;" - "&amp;IF(RIGHT(H18,1)="R","Ringan","Berat"))</f>
        <v>Demam Berdarah Dengue (DBD) - Ringan</v>
      </c>
      <c r="K18" s="20" t="str">
        <f t="shared" si="4"/>
        <v>15/05/25</v>
      </c>
      <c r="L18" s="5" cm="1">
        <f t="array" ref="L18">_xlfn.IFS(RIGHT(J18,6)="Ringan",K18+3,RIGHT(J18,5)="Berat",K18+7)</f>
        <v>45795</v>
      </c>
      <c r="M18" s="3" t="str">
        <f t="shared" si="5"/>
        <v>3 Hari</v>
      </c>
      <c r="N18" s="8">
        <f>VLOOKUP(I18,Data_Acuan!$C$8:$F$11,2,0)*LEFT(M18,1)</f>
        <v>750000</v>
      </c>
      <c r="O18" s="8">
        <f>HLOOKUP(MID(H18,16,1),Data_Acuan!$H$5:$N$7,3,0)</f>
        <v>300000</v>
      </c>
      <c r="P18" s="8">
        <f>INDEX(Data_Acuan!$E$8:$F$11,MATCH(Soal!I18,Data_Acuan!$C$8:$C$11,0),MATCH(IF(RIGHT(H18,1)="R","Ringan","Berat"),Data_Acuan!$E$7:$F$7,0))</f>
        <v>150000</v>
      </c>
      <c r="Q18" s="15">
        <f t="shared" si="6"/>
        <v>1200000</v>
      </c>
      <c r="R18" s="15" t="str">
        <f t="shared" si="7"/>
        <v>BPJS</v>
      </c>
      <c r="S18" s="8" cm="1">
        <f t="array" ref="S18">_xlfn.IFS(R18="BPJS",(20%*(N18+O18)+P18+Q18*10%),R18="Mandiri",SUM(N18:P18)+Q18*10%)</f>
        <v>480000</v>
      </c>
    </row>
    <row r="19" spans="1:19" x14ac:dyDescent="0.3">
      <c r="A19" s="16">
        <v>13</v>
      </c>
      <c r="B19" s="17" t="s">
        <v>37</v>
      </c>
      <c r="C19" s="17" t="s">
        <v>123</v>
      </c>
      <c r="D19" s="3" t="str">
        <f t="shared" si="0"/>
        <v>P</v>
      </c>
      <c r="E19" s="5" t="str">
        <f t="shared" si="1"/>
        <v>15/03/1989</v>
      </c>
      <c r="F19" s="2" t="str">
        <f t="shared" ca="1" si="2"/>
        <v>36 Tahun</v>
      </c>
      <c r="G19" s="4" t="str">
        <f t="shared" si="3"/>
        <v>15/03/1989_Jl-P-15/03/1989-M</v>
      </c>
      <c r="H19" s="17" t="s">
        <v>74</v>
      </c>
      <c r="I19" s="2" t="str">
        <f>INDEX(Data_Acuan!$C$8:$C$11,MATCH(LEFT(Soal!H19,3),Data_Acuan!$B$8:$B$11,0))</f>
        <v>VIP</v>
      </c>
      <c r="J19" s="12" t="str">
        <f>CONCATENATE(HLOOKUP(MID(H19,16,1),Data_Acuan!$H$5:$N$7,2,0)&amp;" - "&amp;IF(RIGHT(H19,1)="R","Ringan","Berat"))</f>
        <v>Demam Berdarah Dengue (DBD) - Berat</v>
      </c>
      <c r="K19" s="20" t="str">
        <f t="shared" si="4"/>
        <v>17/05/25</v>
      </c>
      <c r="L19" s="5" cm="1">
        <f t="array" ref="L19">_xlfn.IFS(RIGHT(J19,6)="Ringan",K19+3,RIGHT(J19,5)="Berat",K19+7)</f>
        <v>45801</v>
      </c>
      <c r="M19" s="3" t="str">
        <f t="shared" si="5"/>
        <v>7 Hari</v>
      </c>
      <c r="N19" s="8">
        <f>VLOOKUP(I19,Data_Acuan!$C$8:$F$11,2,0)*LEFT(M19,1)</f>
        <v>8400000</v>
      </c>
      <c r="O19" s="8">
        <f>HLOOKUP(MID(H19,16,1),Data_Acuan!$H$5:$N$7,3,0)</f>
        <v>300000</v>
      </c>
      <c r="P19" s="8">
        <f>INDEX(Data_Acuan!$E$8:$F$11,MATCH(Soal!I19,Data_Acuan!$C$8:$C$11,0),MATCH(IF(RIGHT(H19,1)="R","Ringan","Berat"),Data_Acuan!$E$7:$F$7,0))</f>
        <v>600000</v>
      </c>
      <c r="Q19" s="15">
        <f t="shared" si="6"/>
        <v>9300000</v>
      </c>
      <c r="R19" s="15" t="str">
        <f t="shared" si="7"/>
        <v>Mandiri</v>
      </c>
      <c r="S19" s="8" cm="1">
        <f t="array" ref="S19">_xlfn.IFS(R19="BPJS",(20%*(N19+O19)+P19+Q19*10%),R19="Mandiri",SUM(N19:P19)+Q19*10%)</f>
        <v>10230000</v>
      </c>
    </row>
    <row r="20" spans="1:19" x14ac:dyDescent="0.3">
      <c r="A20" s="16">
        <v>14</v>
      </c>
      <c r="B20" s="17" t="s">
        <v>38</v>
      </c>
      <c r="C20" s="17" t="s">
        <v>124</v>
      </c>
      <c r="D20" s="3" t="str">
        <f t="shared" si="0"/>
        <v>P</v>
      </c>
      <c r="E20" s="5" t="str">
        <f t="shared" si="1"/>
        <v>16/04/1995</v>
      </c>
      <c r="F20" s="2" t="str">
        <f t="shared" ca="1" si="2"/>
        <v>30 Tahun</v>
      </c>
      <c r="G20" s="4" t="str">
        <f t="shared" si="3"/>
        <v>16/04/1995_Jl-P-16/04/1995-M</v>
      </c>
      <c r="H20" s="17" t="s">
        <v>75</v>
      </c>
      <c r="I20" s="2" t="str">
        <f>INDEX(Data_Acuan!$C$8:$C$11,MATCH(LEFT(Soal!H20,3),Data_Acuan!$B$8:$B$11,0))</f>
        <v>VIP</v>
      </c>
      <c r="J20" s="12" t="str">
        <f>CONCATENATE(HLOOKUP(MID(H20,16,1),Data_Acuan!$H$5:$N$7,2,0)&amp;" - "&amp;IF(RIGHT(H20,1)="R","Ringan","Berat"))</f>
        <v>Demam Berdarah Dengue (DBD) - Berat</v>
      </c>
      <c r="K20" s="20" t="str">
        <f t="shared" si="4"/>
        <v>18/05/25</v>
      </c>
      <c r="L20" s="5" cm="1">
        <f t="array" ref="L20">_xlfn.IFS(RIGHT(J20,6)="Ringan",K20+3,RIGHT(J20,5)="Berat",K20+7)</f>
        <v>45802</v>
      </c>
      <c r="M20" s="3" t="str">
        <f t="shared" si="5"/>
        <v>7 Hari</v>
      </c>
      <c r="N20" s="8">
        <f>VLOOKUP(I20,Data_Acuan!$C$8:$F$11,2,0)*LEFT(M20,1)</f>
        <v>8400000</v>
      </c>
      <c r="O20" s="8">
        <f>HLOOKUP(MID(H20,16,1),Data_Acuan!$H$5:$N$7,3,0)</f>
        <v>300000</v>
      </c>
      <c r="P20" s="8">
        <f>INDEX(Data_Acuan!$E$8:$F$11,MATCH(Soal!I20,Data_Acuan!$C$8:$C$11,0),MATCH(IF(RIGHT(H20,1)="R","Ringan","Berat"),Data_Acuan!$E$7:$F$7,0))</f>
        <v>600000</v>
      </c>
      <c r="Q20" s="15">
        <f t="shared" si="6"/>
        <v>9300000</v>
      </c>
      <c r="R20" s="15" t="str">
        <f t="shared" si="7"/>
        <v>Mandiri</v>
      </c>
      <c r="S20" s="8" cm="1">
        <f t="array" ref="S20">_xlfn.IFS(R20="BPJS",(20%*(N20+O20)+P20+Q20*10%),R20="Mandiri",SUM(N20:P20)+Q20*10%)</f>
        <v>10230000</v>
      </c>
    </row>
    <row r="21" spans="1:19" x14ac:dyDescent="0.3">
      <c r="A21" s="16">
        <v>15</v>
      </c>
      <c r="B21" s="17" t="s">
        <v>39</v>
      </c>
      <c r="C21" s="17" t="s">
        <v>125</v>
      </c>
      <c r="D21" s="3" t="str">
        <f t="shared" si="0"/>
        <v>P</v>
      </c>
      <c r="E21" s="5" t="str">
        <f t="shared" si="1"/>
        <v>10/03/1995</v>
      </c>
      <c r="F21" s="2" t="str">
        <f t="shared" ca="1" si="2"/>
        <v>31 Tahun</v>
      </c>
      <c r="G21" s="4" t="str">
        <f t="shared" si="3"/>
        <v>10/03/1995_Jl-P-10/03/1995-M</v>
      </c>
      <c r="H21" s="17" t="s">
        <v>76</v>
      </c>
      <c r="I21" s="2" t="str">
        <f>INDEX(Data_Acuan!$C$8:$C$11,MATCH(LEFT(Soal!H21,3),Data_Acuan!$B$8:$B$11,0))</f>
        <v>VIP</v>
      </c>
      <c r="J21" s="12" t="str">
        <f>CONCATENATE(HLOOKUP(MID(H21,16,1),Data_Acuan!$H$5:$N$7,2,0)&amp;" - "&amp;IF(RIGHT(H21,1)="R","Ringan","Berat"))</f>
        <v>Demam Berdarah Dengue (DBD) - Berat</v>
      </c>
      <c r="K21" s="20" t="str">
        <f t="shared" si="4"/>
        <v>19/05/25</v>
      </c>
      <c r="L21" s="5" cm="1">
        <f t="array" ref="L21">_xlfn.IFS(RIGHT(J21,6)="Ringan",K21+3,RIGHT(J21,5)="Berat",K21+7)</f>
        <v>45803</v>
      </c>
      <c r="M21" s="3" t="str">
        <f t="shared" si="5"/>
        <v>7 Hari</v>
      </c>
      <c r="N21" s="8">
        <f>VLOOKUP(I21,Data_Acuan!$C$8:$F$11,2,0)*LEFT(M21,1)</f>
        <v>8400000</v>
      </c>
      <c r="O21" s="8">
        <f>HLOOKUP(MID(H21,16,1),Data_Acuan!$H$5:$N$7,3,0)</f>
        <v>300000</v>
      </c>
      <c r="P21" s="8">
        <f>INDEX(Data_Acuan!$E$8:$F$11,MATCH(Soal!I21,Data_Acuan!$C$8:$C$11,0),MATCH(IF(RIGHT(H21,1)="R","Ringan","Berat"),Data_Acuan!$E$7:$F$7,0))</f>
        <v>600000</v>
      </c>
      <c r="Q21" s="15">
        <f t="shared" si="6"/>
        <v>9300000</v>
      </c>
      <c r="R21" s="15" t="str">
        <f t="shared" si="7"/>
        <v>Mandiri</v>
      </c>
      <c r="S21" s="8" cm="1">
        <f t="array" ref="S21">_xlfn.IFS(R21="BPJS",(20%*(N21+O21)+P21+Q21*10%),R21="Mandiri",SUM(N21:P21)+Q21*10%)</f>
        <v>10230000</v>
      </c>
    </row>
    <row r="22" spans="1:19" x14ac:dyDescent="0.3">
      <c r="A22" s="16">
        <v>16</v>
      </c>
      <c r="B22" s="17" t="s">
        <v>40</v>
      </c>
      <c r="C22" s="17" t="s">
        <v>126</v>
      </c>
      <c r="D22" s="3" t="str">
        <f t="shared" si="0"/>
        <v>L</v>
      </c>
      <c r="E22" s="5" t="str">
        <f t="shared" si="1"/>
        <v>25/08/2000</v>
      </c>
      <c r="F22" s="2" t="str">
        <f t="shared" ca="1" si="2"/>
        <v>25 Tahun</v>
      </c>
      <c r="G22" s="4" t="str">
        <f t="shared" si="3"/>
        <v>25/08/2000_Jl-L-25/08/2000-B</v>
      </c>
      <c r="H22" s="17" t="s">
        <v>77</v>
      </c>
      <c r="I22" s="2" t="str">
        <f>INDEX(Data_Acuan!$C$8:$C$11,MATCH(LEFT(Soal!H22,3),Data_Acuan!$B$8:$B$11,0))</f>
        <v>Kelas 2</v>
      </c>
      <c r="J22" s="12" t="str">
        <f>CONCATENATE(HLOOKUP(MID(H22,16,1),Data_Acuan!$H$5:$N$7,2,0)&amp;" - "&amp;IF(RIGHT(H22,1)="R","Ringan","Berat"))</f>
        <v>Gagal Ginjal - Berat</v>
      </c>
      <c r="K22" s="20" t="str">
        <f t="shared" si="4"/>
        <v>20/05/25</v>
      </c>
      <c r="L22" s="5" cm="1">
        <f t="array" ref="L22">_xlfn.IFS(RIGHT(J22,6)="Ringan",K22+3,RIGHT(J22,5)="Berat",K22+7)</f>
        <v>45804</v>
      </c>
      <c r="M22" s="3" t="str">
        <f t="shared" si="5"/>
        <v>7 Hari</v>
      </c>
      <c r="N22" s="8">
        <f>VLOOKUP(I22,Data_Acuan!$C$8:$F$11,2,0)*LEFT(M22,1)</f>
        <v>3500000</v>
      </c>
      <c r="O22" s="8">
        <f>HLOOKUP(MID(H22,16,1),Data_Acuan!$H$5:$N$7,3,0)</f>
        <v>600000</v>
      </c>
      <c r="P22" s="8">
        <f>INDEX(Data_Acuan!$E$8:$F$11,MATCH(Soal!I22,Data_Acuan!$C$8:$C$11,0),MATCH(IF(RIGHT(H22,1)="R","Ringan","Berat"),Data_Acuan!$E$7:$F$7,0))</f>
        <v>450000</v>
      </c>
      <c r="Q22" s="15">
        <f t="shared" si="6"/>
        <v>4550000</v>
      </c>
      <c r="R22" s="15" t="str">
        <f t="shared" si="7"/>
        <v>BPJS</v>
      </c>
      <c r="S22" s="8" cm="1">
        <f t="array" ref="S22">_xlfn.IFS(R22="BPJS",(20%*(N22+O22)+P22+Q22*10%),R22="Mandiri",SUM(N22:P22)+Q22*10%)</f>
        <v>1725000</v>
      </c>
    </row>
    <row r="23" spans="1:19" x14ac:dyDescent="0.3">
      <c r="A23" s="16">
        <v>17</v>
      </c>
      <c r="B23" s="17" t="s">
        <v>41</v>
      </c>
      <c r="C23" s="17" t="s">
        <v>127</v>
      </c>
      <c r="D23" s="3" t="str">
        <f t="shared" si="0"/>
        <v>P</v>
      </c>
      <c r="E23" s="5" t="str">
        <f t="shared" si="1"/>
        <v>15/04/1980</v>
      </c>
      <c r="F23" s="2" t="str">
        <f t="shared" ca="1" si="2"/>
        <v>45 Tahun</v>
      </c>
      <c r="G23" s="4" t="str">
        <f t="shared" si="3"/>
        <v>15/04/1980_Jl-P-15/04/1980-M</v>
      </c>
      <c r="H23" s="17" t="s">
        <v>78</v>
      </c>
      <c r="I23" s="2" t="str">
        <f>INDEX(Data_Acuan!$C$8:$C$11,MATCH(LEFT(Soal!H23,3),Data_Acuan!$B$8:$B$11,0))</f>
        <v>VIP</v>
      </c>
      <c r="J23" s="12" t="str">
        <f>CONCATENATE(HLOOKUP(MID(H23,16,1),Data_Acuan!$H$5:$N$7,2,0)&amp;" - "&amp;IF(RIGHT(H23,1)="R","Ringan","Berat"))</f>
        <v>Demam Berdarah Dengue (DBD) - Berat</v>
      </c>
      <c r="K23" s="20" t="str">
        <f t="shared" si="4"/>
        <v>21/05/25</v>
      </c>
      <c r="L23" s="5" cm="1">
        <f t="array" ref="L23">_xlfn.IFS(RIGHT(J23,6)="Ringan",K23+3,RIGHT(J23,5)="Berat",K23+7)</f>
        <v>45805</v>
      </c>
      <c r="M23" s="3" t="str">
        <f t="shared" si="5"/>
        <v>7 Hari</v>
      </c>
      <c r="N23" s="8">
        <f>VLOOKUP(I23,Data_Acuan!$C$8:$F$11,2,0)*LEFT(M23,1)</f>
        <v>8400000</v>
      </c>
      <c r="O23" s="8">
        <f>HLOOKUP(MID(H23,16,1),Data_Acuan!$H$5:$N$7,3,0)</f>
        <v>300000</v>
      </c>
      <c r="P23" s="8">
        <f>INDEX(Data_Acuan!$E$8:$F$11,MATCH(Soal!I23,Data_Acuan!$C$8:$C$11,0),MATCH(IF(RIGHT(H23,1)="R","Ringan","Berat"),Data_Acuan!$E$7:$F$7,0))</f>
        <v>600000</v>
      </c>
      <c r="Q23" s="15">
        <f t="shared" si="6"/>
        <v>9300000</v>
      </c>
      <c r="R23" s="15" t="str">
        <f t="shared" si="7"/>
        <v>Mandiri</v>
      </c>
      <c r="S23" s="8" cm="1">
        <f t="array" ref="S23">_xlfn.IFS(R23="BPJS",(20%*(N23+O23)+P23+Q23*10%),R23="Mandiri",SUM(N23:P23)+Q23*10%)</f>
        <v>10230000</v>
      </c>
    </row>
    <row r="24" spans="1:19" x14ac:dyDescent="0.3">
      <c r="A24" s="16">
        <v>18</v>
      </c>
      <c r="B24" s="17" t="s">
        <v>42</v>
      </c>
      <c r="C24" s="17" t="s">
        <v>128</v>
      </c>
      <c r="D24" s="3" t="str">
        <f t="shared" si="0"/>
        <v>L</v>
      </c>
      <c r="E24" s="5" t="str">
        <f t="shared" si="1"/>
        <v>16/05/1994</v>
      </c>
      <c r="F24" s="2" t="str">
        <f t="shared" ca="1" si="2"/>
        <v>31 Tahun</v>
      </c>
      <c r="G24" s="4" t="str">
        <f t="shared" si="3"/>
        <v>16/05/1994_Jl-L-16/05/1994-M</v>
      </c>
      <c r="H24" s="17" t="s">
        <v>79</v>
      </c>
      <c r="I24" s="2" t="str">
        <f>INDEX(Data_Acuan!$C$8:$C$11,MATCH(LEFT(Soal!H24,3),Data_Acuan!$B$8:$B$11,0))</f>
        <v>VIP</v>
      </c>
      <c r="J24" s="12" t="str">
        <f>CONCATENATE(HLOOKUP(MID(H24,16,1),Data_Acuan!$H$5:$N$7,2,0)&amp;" - "&amp;IF(RIGHT(H24,1)="R","Ringan","Berat"))</f>
        <v>Demam Berdarah Dengue (DBD) - Berat</v>
      </c>
      <c r="K24" s="20" t="str">
        <f t="shared" si="4"/>
        <v>22/05/25</v>
      </c>
      <c r="L24" s="5" cm="1">
        <f t="array" ref="L24">_xlfn.IFS(RIGHT(J24,6)="Ringan",K24+3,RIGHT(J24,5)="Berat",K24+7)</f>
        <v>45806</v>
      </c>
      <c r="M24" s="3" t="str">
        <f t="shared" si="5"/>
        <v>7 Hari</v>
      </c>
      <c r="N24" s="8">
        <f>VLOOKUP(I24,Data_Acuan!$C$8:$F$11,2,0)*LEFT(M24,1)</f>
        <v>8400000</v>
      </c>
      <c r="O24" s="8">
        <f>HLOOKUP(MID(H24,16,1),Data_Acuan!$H$5:$N$7,3,0)</f>
        <v>300000</v>
      </c>
      <c r="P24" s="8">
        <f>INDEX(Data_Acuan!$E$8:$F$11,MATCH(Soal!I24,Data_Acuan!$C$8:$C$11,0),MATCH(IF(RIGHT(H24,1)="R","Ringan","Berat"),Data_Acuan!$E$7:$F$7,0))</f>
        <v>600000</v>
      </c>
      <c r="Q24" s="15">
        <f t="shared" si="6"/>
        <v>9300000</v>
      </c>
      <c r="R24" s="15" t="str">
        <f t="shared" si="7"/>
        <v>Mandiri</v>
      </c>
      <c r="S24" s="8" cm="1">
        <f t="array" ref="S24">_xlfn.IFS(R24="BPJS",(20%*(N24+O24)+P24+Q24*10%),R24="Mandiri",SUM(N24:P24)+Q24*10%)</f>
        <v>10230000</v>
      </c>
    </row>
    <row r="25" spans="1:19" x14ac:dyDescent="0.3">
      <c r="A25" s="16">
        <v>19</v>
      </c>
      <c r="B25" s="17" t="s">
        <v>43</v>
      </c>
      <c r="C25" s="17" t="s">
        <v>129</v>
      </c>
      <c r="D25" s="3" t="str">
        <f t="shared" si="0"/>
        <v>L</v>
      </c>
      <c r="E25" s="5" t="str">
        <f t="shared" si="1"/>
        <v>23/12/1995</v>
      </c>
      <c r="F25" s="2" t="str">
        <f t="shared" ca="1" si="2"/>
        <v>30 Tahun</v>
      </c>
      <c r="G25" s="4" t="str">
        <f t="shared" si="3"/>
        <v>23/12/1995_Jl-L-23/12/1995-M</v>
      </c>
      <c r="H25" s="17" t="s">
        <v>80</v>
      </c>
      <c r="I25" s="2" t="str">
        <f>INDEX(Data_Acuan!$C$8:$C$11,MATCH(LEFT(Soal!H25,3),Data_Acuan!$B$8:$B$11,0))</f>
        <v>VIP</v>
      </c>
      <c r="J25" s="12" t="str">
        <f>CONCATENATE(HLOOKUP(MID(H25,16,1),Data_Acuan!$H$5:$N$7,2,0)&amp;" - "&amp;IF(RIGHT(H25,1)="R","Ringan","Berat"))</f>
        <v>Demam Berdarah Dengue (DBD) - Berat</v>
      </c>
      <c r="K25" s="20" t="str">
        <f t="shared" si="4"/>
        <v>23/05/25</v>
      </c>
      <c r="L25" s="5" cm="1">
        <f t="array" ref="L25">_xlfn.IFS(RIGHT(J25,6)="Ringan",K25+3,RIGHT(J25,5)="Berat",K25+7)</f>
        <v>45807</v>
      </c>
      <c r="M25" s="3" t="str">
        <f t="shared" si="5"/>
        <v>7 Hari</v>
      </c>
      <c r="N25" s="8">
        <f>VLOOKUP(I25,Data_Acuan!$C$8:$F$11,2,0)*LEFT(M25,1)</f>
        <v>8400000</v>
      </c>
      <c r="O25" s="8">
        <f>HLOOKUP(MID(H25,16,1),Data_Acuan!$H$5:$N$7,3,0)</f>
        <v>300000</v>
      </c>
      <c r="P25" s="8">
        <f>INDEX(Data_Acuan!$E$8:$F$11,MATCH(Soal!I25,Data_Acuan!$C$8:$C$11,0),MATCH(IF(RIGHT(H25,1)="R","Ringan","Berat"),Data_Acuan!$E$7:$F$7,0))</f>
        <v>600000</v>
      </c>
      <c r="Q25" s="15">
        <f t="shared" si="6"/>
        <v>9300000</v>
      </c>
      <c r="R25" s="15" t="str">
        <f t="shared" si="7"/>
        <v>Mandiri</v>
      </c>
      <c r="S25" s="8" cm="1">
        <f t="array" ref="S25">_xlfn.IFS(R25="BPJS",(20%*(N25+O25)+P25+Q25*10%),R25="Mandiri",SUM(N25:P25)+Q25*10%)</f>
        <v>10230000</v>
      </c>
    </row>
    <row r="26" spans="1:19" x14ac:dyDescent="0.3">
      <c r="A26" s="16">
        <v>20</v>
      </c>
      <c r="B26" s="17" t="s">
        <v>44</v>
      </c>
      <c r="C26" s="17" t="s">
        <v>130</v>
      </c>
      <c r="D26" s="3" t="str">
        <f t="shared" si="0"/>
        <v>P</v>
      </c>
      <c r="E26" s="5" t="str">
        <f t="shared" si="1"/>
        <v>31/03/2003</v>
      </c>
      <c r="F26" s="2" t="str">
        <f t="shared" ca="1" si="2"/>
        <v>22 Tahun</v>
      </c>
      <c r="G26" s="4" t="str">
        <f t="shared" si="3"/>
        <v>31/03/2003_Jl-P-31/03/2003-B</v>
      </c>
      <c r="H26" s="17" t="s">
        <v>81</v>
      </c>
      <c r="I26" s="2" t="str">
        <f>INDEX(Data_Acuan!$C$8:$C$11,MATCH(LEFT(Soal!H26,3),Data_Acuan!$B$8:$B$11,0))</f>
        <v>Kelas 3</v>
      </c>
      <c r="J26" s="12" t="str">
        <f>CONCATENATE(HLOOKUP(MID(H26,16,1),Data_Acuan!$H$5:$N$7,2,0)&amp;" - "&amp;IF(RIGHT(H26,1)="R","Ringan","Berat"))</f>
        <v>Demam Berdarah Dengue (DBD) - Ringan</v>
      </c>
      <c r="K26" s="20" t="str">
        <f t="shared" si="4"/>
        <v>25/05/25</v>
      </c>
      <c r="L26" s="5" cm="1">
        <f t="array" ref="L26">_xlfn.IFS(RIGHT(J26,6)="Ringan",K26+3,RIGHT(J26,5)="Berat",K26+7)</f>
        <v>45805</v>
      </c>
      <c r="M26" s="3" t="str">
        <f t="shared" si="5"/>
        <v>3 Hari</v>
      </c>
      <c r="N26" s="8">
        <f>VLOOKUP(I26,Data_Acuan!$C$8:$F$11,2,0)*LEFT(M26,1)</f>
        <v>750000</v>
      </c>
      <c r="O26" s="8">
        <f>HLOOKUP(MID(H26,16,1),Data_Acuan!$H$5:$N$7,3,0)</f>
        <v>300000</v>
      </c>
      <c r="P26" s="8">
        <f>INDEX(Data_Acuan!$E$8:$F$11,MATCH(Soal!I26,Data_Acuan!$C$8:$C$11,0),MATCH(IF(RIGHT(H26,1)="R","Ringan","Berat"),Data_Acuan!$E$7:$F$7,0))</f>
        <v>150000</v>
      </c>
      <c r="Q26" s="15">
        <f t="shared" si="6"/>
        <v>1200000</v>
      </c>
      <c r="R26" s="15" t="str">
        <f t="shared" si="7"/>
        <v>BPJS</v>
      </c>
      <c r="S26" s="8" cm="1">
        <f t="array" ref="S26">_xlfn.IFS(R26="BPJS",(20%*(N26+O26)+P26+Q26*10%),R26="Mandiri",SUM(N26:P26)+Q26*10%)</f>
        <v>480000</v>
      </c>
    </row>
    <row r="27" spans="1:19" x14ac:dyDescent="0.3">
      <c r="A27" s="16">
        <v>21</v>
      </c>
      <c r="B27" s="17" t="s">
        <v>45</v>
      </c>
      <c r="C27" s="17" t="s">
        <v>131</v>
      </c>
      <c r="D27" s="3" t="str">
        <f t="shared" si="0"/>
        <v>L</v>
      </c>
      <c r="E27" s="5" t="str">
        <f t="shared" si="1"/>
        <v>28/01/1991</v>
      </c>
      <c r="F27" s="2" t="str">
        <f t="shared" ca="1" si="2"/>
        <v>35 Tahun</v>
      </c>
      <c r="G27" s="4" t="str">
        <f t="shared" si="3"/>
        <v>28/01/1991_Jl-L-28/01/1991-M</v>
      </c>
      <c r="H27" s="17" t="s">
        <v>82</v>
      </c>
      <c r="I27" s="2" t="str">
        <f>INDEX(Data_Acuan!$C$8:$C$11,MATCH(LEFT(Soal!H27,3),Data_Acuan!$B$8:$B$11,0))</f>
        <v>Kelas 1</v>
      </c>
      <c r="J27" s="12" t="str">
        <f>CONCATENATE(HLOOKUP(MID(H27,16,1),Data_Acuan!$H$5:$N$7,2,0)&amp;" - "&amp;IF(RIGHT(H27,1)="R","Ringan","Berat"))</f>
        <v>Typus (Tifoid) - Berat</v>
      </c>
      <c r="K27" s="20" t="str">
        <f t="shared" si="4"/>
        <v>25/05/25</v>
      </c>
      <c r="L27" s="5" cm="1">
        <f t="array" ref="L27">_xlfn.IFS(RIGHT(J27,6)="Ringan",K27+3,RIGHT(J27,5)="Berat",K27+7)</f>
        <v>45809</v>
      </c>
      <c r="M27" s="3" t="str">
        <f t="shared" si="5"/>
        <v>7 Hari</v>
      </c>
      <c r="N27" s="8">
        <f>VLOOKUP(I27,Data_Acuan!$C$8:$F$11,2,0)*LEFT(M27,1)</f>
        <v>5250000</v>
      </c>
      <c r="O27" s="8">
        <f>HLOOKUP(MID(H27,16,1),Data_Acuan!$H$5:$N$7,3,0)</f>
        <v>250000</v>
      </c>
      <c r="P27" s="8">
        <f>INDEX(Data_Acuan!$E$8:$F$11,MATCH(Soal!I27,Data_Acuan!$C$8:$C$11,0),MATCH(IF(RIGHT(H27,1)="R","Ringan","Berat"),Data_Acuan!$E$7:$F$7,0))</f>
        <v>500000</v>
      </c>
      <c r="Q27" s="15">
        <f t="shared" si="6"/>
        <v>6000000</v>
      </c>
      <c r="R27" s="15" t="str">
        <f t="shared" si="7"/>
        <v>Mandiri</v>
      </c>
      <c r="S27" s="8" cm="1">
        <f t="array" ref="S27">_xlfn.IFS(R27="BPJS",(20%*(N27+O27)+P27+Q27*10%),R27="Mandiri",SUM(N27:P27)+Q27*10%)</f>
        <v>6600000</v>
      </c>
    </row>
    <row r="28" spans="1:19" x14ac:dyDescent="0.3">
      <c r="A28" s="16">
        <v>22</v>
      </c>
      <c r="B28" s="17" t="s">
        <v>46</v>
      </c>
      <c r="C28" s="17" t="s">
        <v>132</v>
      </c>
      <c r="D28" s="3" t="str">
        <f t="shared" si="0"/>
        <v>L</v>
      </c>
      <c r="E28" s="5" t="str">
        <f t="shared" si="1"/>
        <v>11/09/1971</v>
      </c>
      <c r="F28" s="2" t="str">
        <f t="shared" ca="1" si="2"/>
        <v>54 Tahun</v>
      </c>
      <c r="G28" s="4" t="str">
        <f t="shared" si="3"/>
        <v>11/09/1971_Jl-L-11/09/1971-B</v>
      </c>
      <c r="H28" s="17" t="s">
        <v>83</v>
      </c>
      <c r="I28" s="2" t="str">
        <f>INDEX(Data_Acuan!$C$8:$C$11,MATCH(LEFT(Soal!H28,3),Data_Acuan!$B$8:$B$11,0))</f>
        <v>Kelas 1</v>
      </c>
      <c r="J28" s="12" t="str">
        <f>CONCATENATE(HLOOKUP(MID(H28,16,1),Data_Acuan!$H$5:$N$7,2,0)&amp;" - "&amp;IF(RIGHT(H28,1)="R","Ringan","Berat"))</f>
        <v>Demam Berdarah Dengue (DBD) - Berat</v>
      </c>
      <c r="K28" s="20" t="str">
        <f t="shared" si="4"/>
        <v>26/05/25</v>
      </c>
      <c r="L28" s="5" cm="1">
        <f t="array" ref="L28">_xlfn.IFS(RIGHT(J28,6)="Ringan",K28+3,RIGHT(J28,5)="Berat",K28+7)</f>
        <v>45810</v>
      </c>
      <c r="M28" s="3" t="str">
        <f t="shared" si="5"/>
        <v>7 Hari</v>
      </c>
      <c r="N28" s="8">
        <f>VLOOKUP(I28,Data_Acuan!$C$8:$F$11,2,0)*LEFT(M28,1)</f>
        <v>5250000</v>
      </c>
      <c r="O28" s="8">
        <f>HLOOKUP(MID(H28,16,1),Data_Acuan!$H$5:$N$7,3,0)</f>
        <v>300000</v>
      </c>
      <c r="P28" s="8">
        <f>INDEX(Data_Acuan!$E$8:$F$11,MATCH(Soal!I28,Data_Acuan!$C$8:$C$11,0),MATCH(IF(RIGHT(H28,1)="R","Ringan","Berat"),Data_Acuan!$E$7:$F$7,0))</f>
        <v>500000</v>
      </c>
      <c r="Q28" s="15">
        <f t="shared" si="6"/>
        <v>6050000</v>
      </c>
      <c r="R28" s="15" t="str">
        <f t="shared" si="7"/>
        <v>BPJS</v>
      </c>
      <c r="S28" s="8" cm="1">
        <f t="array" ref="S28">_xlfn.IFS(R28="BPJS",(20%*(N28+O28)+P28+Q28*10%),R28="Mandiri",SUM(N28:P28)+Q28*10%)</f>
        <v>2215000</v>
      </c>
    </row>
    <row r="29" spans="1:19" x14ac:dyDescent="0.3">
      <c r="A29" s="16">
        <v>23</v>
      </c>
      <c r="B29" s="17" t="s">
        <v>47</v>
      </c>
      <c r="C29" s="17" t="s">
        <v>133</v>
      </c>
      <c r="D29" s="3" t="str">
        <f t="shared" si="0"/>
        <v>P</v>
      </c>
      <c r="E29" s="5" t="str">
        <f t="shared" si="1"/>
        <v>04/10/1998</v>
      </c>
      <c r="F29" s="2" t="str">
        <f t="shared" ca="1" si="2"/>
        <v>27 Tahun</v>
      </c>
      <c r="G29" s="4" t="str">
        <f t="shared" si="3"/>
        <v>04/10/1998_Jl-P-04/10/1998-B</v>
      </c>
      <c r="H29" s="17" t="s">
        <v>84</v>
      </c>
      <c r="I29" s="2" t="str">
        <f>INDEX(Data_Acuan!$C$8:$C$11,MATCH(LEFT(Soal!H29,3),Data_Acuan!$B$8:$B$11,0))</f>
        <v>Kelas 3</v>
      </c>
      <c r="J29" s="12" t="str">
        <f>CONCATENATE(HLOOKUP(MID(H29,16,1),Data_Acuan!$H$5:$N$7,2,0)&amp;" - "&amp;IF(RIGHT(H29,1)="R","Ringan","Berat"))</f>
        <v>Pasca Operasi Caesar - Ringan</v>
      </c>
      <c r="K29" s="20" t="str">
        <f t="shared" si="4"/>
        <v>27/05/25</v>
      </c>
      <c r="L29" s="5" cm="1">
        <f t="array" ref="L29">_xlfn.IFS(RIGHT(J29,6)="Ringan",K29+3,RIGHT(J29,5)="Berat",K29+7)</f>
        <v>45807</v>
      </c>
      <c r="M29" s="3" t="str">
        <f t="shared" si="5"/>
        <v>3 Hari</v>
      </c>
      <c r="N29" s="8">
        <f>VLOOKUP(I29,Data_Acuan!$C$8:$F$11,2,0)*LEFT(M29,1)</f>
        <v>750000</v>
      </c>
      <c r="O29" s="8">
        <f>HLOOKUP(MID(H29,16,1),Data_Acuan!$H$5:$N$7,3,0)</f>
        <v>500000</v>
      </c>
      <c r="P29" s="8">
        <f>INDEX(Data_Acuan!$E$8:$F$11,MATCH(Soal!I29,Data_Acuan!$C$8:$C$11,0),MATCH(IF(RIGHT(H29,1)="R","Ringan","Berat"),Data_Acuan!$E$7:$F$7,0))</f>
        <v>150000</v>
      </c>
      <c r="Q29" s="15">
        <f t="shared" si="6"/>
        <v>1400000</v>
      </c>
      <c r="R29" s="15" t="str">
        <f t="shared" si="7"/>
        <v>BPJS</v>
      </c>
      <c r="S29" s="8" cm="1">
        <f t="array" ref="S29">_xlfn.IFS(R29="BPJS",(20%*(N29+O29)+P29+Q29*10%),R29="Mandiri",SUM(N29:P29)+Q29*10%)</f>
        <v>540000</v>
      </c>
    </row>
    <row r="30" spans="1:19" x14ac:dyDescent="0.3">
      <c r="A30" s="16">
        <v>24</v>
      </c>
      <c r="B30" s="17" t="s">
        <v>48</v>
      </c>
      <c r="C30" s="17" t="s">
        <v>134</v>
      </c>
      <c r="D30" s="3" t="str">
        <f t="shared" si="0"/>
        <v>L</v>
      </c>
      <c r="E30" s="5" t="str">
        <f t="shared" si="1"/>
        <v>21/11/2001</v>
      </c>
      <c r="F30" s="2" t="str">
        <f t="shared" ca="1" si="2"/>
        <v>24 Tahun</v>
      </c>
      <c r="G30" s="4" t="str">
        <f t="shared" si="3"/>
        <v>21/11/2001_Jl-L-21/11/2001-B</v>
      </c>
      <c r="H30" s="17" t="s">
        <v>85</v>
      </c>
      <c r="I30" s="2" t="str">
        <f>INDEX(Data_Acuan!$C$8:$C$11,MATCH(LEFT(Soal!H30,3),Data_Acuan!$B$8:$B$11,0))</f>
        <v>Kelas 3</v>
      </c>
      <c r="J30" s="12" t="str">
        <f>CONCATENATE(HLOOKUP(MID(H30,16,1),Data_Acuan!$H$5:$N$7,2,0)&amp;" - "&amp;IF(RIGHT(H30,1)="R","Ringan","Berat"))</f>
        <v>Demam Berdarah Dengue (DBD) - Ringan</v>
      </c>
      <c r="K30" s="20" t="str">
        <f t="shared" si="4"/>
        <v>28/05/25</v>
      </c>
      <c r="L30" s="5" cm="1">
        <f t="array" ref="L30">_xlfn.IFS(RIGHT(J30,6)="Ringan",K30+3,RIGHT(J30,5)="Berat",K30+7)</f>
        <v>45808</v>
      </c>
      <c r="M30" s="3" t="str">
        <f t="shared" si="5"/>
        <v>3 Hari</v>
      </c>
      <c r="N30" s="8">
        <f>VLOOKUP(I30,Data_Acuan!$C$8:$F$11,2,0)*LEFT(M30,1)</f>
        <v>750000</v>
      </c>
      <c r="O30" s="8">
        <f>HLOOKUP(MID(H30,16,1),Data_Acuan!$H$5:$N$7,3,0)</f>
        <v>300000</v>
      </c>
      <c r="P30" s="8">
        <f>INDEX(Data_Acuan!$E$8:$F$11,MATCH(Soal!I30,Data_Acuan!$C$8:$C$11,0),MATCH(IF(RIGHT(H30,1)="R","Ringan","Berat"),Data_Acuan!$E$7:$F$7,0))</f>
        <v>150000</v>
      </c>
      <c r="Q30" s="15">
        <f t="shared" si="6"/>
        <v>1200000</v>
      </c>
      <c r="R30" s="15" t="str">
        <f t="shared" si="7"/>
        <v>BPJS</v>
      </c>
      <c r="S30" s="8" cm="1">
        <f t="array" ref="S30">_xlfn.IFS(R30="BPJS",(20%*(N30+O30)+P30+Q30*10%),R30="Mandiri",SUM(N30:P30)+Q30*10%)</f>
        <v>480000</v>
      </c>
    </row>
    <row r="31" spans="1:19" x14ac:dyDescent="0.3">
      <c r="A31" s="16">
        <v>25</v>
      </c>
      <c r="B31" s="17" t="s">
        <v>49</v>
      </c>
      <c r="C31" s="17" t="s">
        <v>135</v>
      </c>
      <c r="D31" s="3" t="str">
        <f t="shared" si="0"/>
        <v>P</v>
      </c>
      <c r="E31" s="5" t="str">
        <f t="shared" si="1"/>
        <v>18/05/2000</v>
      </c>
      <c r="F31" s="2" t="str">
        <f t="shared" ca="1" si="2"/>
        <v>25 Tahun</v>
      </c>
      <c r="G31" s="4" t="str">
        <f t="shared" si="3"/>
        <v>18/05/2000_Jl-P-18/05/2000-B</v>
      </c>
      <c r="H31" s="17" t="s">
        <v>85</v>
      </c>
      <c r="I31" s="2" t="str">
        <f>INDEX(Data_Acuan!$C$8:$C$11,MATCH(LEFT(Soal!H31,3),Data_Acuan!$B$8:$B$11,0))</f>
        <v>Kelas 3</v>
      </c>
      <c r="J31" s="12" t="str">
        <f>CONCATENATE(HLOOKUP(MID(H31,16,1),Data_Acuan!$H$5:$N$7,2,0)&amp;" - "&amp;IF(RIGHT(H31,1)="R","Ringan","Berat"))</f>
        <v>Demam Berdarah Dengue (DBD) - Ringan</v>
      </c>
      <c r="K31" s="20" t="str">
        <f t="shared" si="4"/>
        <v>28/05/25</v>
      </c>
      <c r="L31" s="5" cm="1">
        <f t="array" ref="L31">_xlfn.IFS(RIGHT(J31,6)="Ringan",K31+3,RIGHT(J31,5)="Berat",K31+7)</f>
        <v>45808</v>
      </c>
      <c r="M31" s="3" t="str">
        <f t="shared" si="5"/>
        <v>3 Hari</v>
      </c>
      <c r="N31" s="8">
        <f>VLOOKUP(I31,Data_Acuan!$C$8:$F$11,2,0)*LEFT(M31,1)</f>
        <v>750000</v>
      </c>
      <c r="O31" s="8">
        <f>HLOOKUP(MID(H31,16,1),Data_Acuan!$H$5:$N$7,3,0)</f>
        <v>300000</v>
      </c>
      <c r="P31" s="8">
        <f>INDEX(Data_Acuan!$E$8:$F$11,MATCH(Soal!I31,Data_Acuan!$C$8:$C$11,0),MATCH(IF(RIGHT(H31,1)="R","Ringan","Berat"),Data_Acuan!$E$7:$F$7,0))</f>
        <v>150000</v>
      </c>
      <c r="Q31" s="15">
        <f t="shared" si="6"/>
        <v>1200000</v>
      </c>
      <c r="R31" s="15" t="str">
        <f t="shared" si="7"/>
        <v>BPJS</v>
      </c>
      <c r="S31" s="8" cm="1">
        <f t="array" ref="S31">_xlfn.IFS(R31="BPJS",(20%*(N31+O31)+P31+Q31*10%),R31="Mandiri",SUM(N31:P31)+Q31*10%)</f>
        <v>480000</v>
      </c>
    </row>
    <row r="32" spans="1:19" x14ac:dyDescent="0.3">
      <c r="A32" s="16">
        <v>26</v>
      </c>
      <c r="B32" s="17" t="s">
        <v>50</v>
      </c>
      <c r="C32" s="17" t="s">
        <v>136</v>
      </c>
      <c r="D32" s="3" t="str">
        <f t="shared" si="0"/>
        <v>L</v>
      </c>
      <c r="E32" s="5" t="str">
        <f t="shared" si="1"/>
        <v>25/11/1996</v>
      </c>
      <c r="F32" s="2" t="str">
        <f t="shared" ca="1" si="2"/>
        <v>29 Tahun</v>
      </c>
      <c r="G32" s="4" t="str">
        <f t="shared" si="3"/>
        <v>25/11/1996_Jl-L-25/11/1996-B</v>
      </c>
      <c r="H32" s="17" t="s">
        <v>88</v>
      </c>
      <c r="I32" s="2" t="str">
        <f>INDEX(Data_Acuan!$C$8:$C$11,MATCH(LEFT(Soal!H32,3),Data_Acuan!$B$8:$B$11,0))</f>
        <v>Kelas 2</v>
      </c>
      <c r="J32" s="12" t="str">
        <f>CONCATENATE(HLOOKUP(MID(H32,16,1),Data_Acuan!$H$5:$N$7,2,0)&amp;" - "&amp;IF(RIGHT(H32,1)="R","Ringan","Berat"))</f>
        <v>Pneumonia (Radang Paru-paru) - Ringan</v>
      </c>
      <c r="K32" s="20" t="str">
        <f t="shared" si="4"/>
        <v>28/05/25</v>
      </c>
      <c r="L32" s="5" cm="1">
        <f t="array" ref="L32">_xlfn.IFS(RIGHT(J32,6)="Ringan",K32+3,RIGHT(J32,5)="Berat",K32+7)</f>
        <v>45808</v>
      </c>
      <c r="M32" s="3" t="str">
        <f t="shared" si="5"/>
        <v>3 Hari</v>
      </c>
      <c r="N32" s="8">
        <f>VLOOKUP(I32,Data_Acuan!$C$8:$F$11,2,0)*LEFT(M32,1)</f>
        <v>1500000</v>
      </c>
      <c r="O32" s="8">
        <f>HLOOKUP(MID(H32,16,1),Data_Acuan!$H$5:$N$7,3,0)</f>
        <v>350000</v>
      </c>
      <c r="P32" s="8">
        <f>INDEX(Data_Acuan!$E$8:$F$11,MATCH(Soal!I32,Data_Acuan!$C$8:$C$11,0),MATCH(IF(RIGHT(H32,1)="R","Ringan","Berat"),Data_Acuan!$E$7:$F$7,0))</f>
        <v>200000</v>
      </c>
      <c r="Q32" s="15">
        <f t="shared" si="6"/>
        <v>2050000</v>
      </c>
      <c r="R32" s="15" t="str">
        <f t="shared" si="7"/>
        <v>BPJS</v>
      </c>
      <c r="S32" s="8" cm="1">
        <f t="array" ref="S32">_xlfn.IFS(R32="BPJS",(20%*(N32+O32)+P32+Q32*10%),R32="Mandiri",SUM(N32:P32)+Q32*10%)</f>
        <v>775000</v>
      </c>
    </row>
    <row r="33" spans="1:19" ht="15" customHeight="1" x14ac:dyDescent="0.3">
      <c r="A33" s="16">
        <v>27</v>
      </c>
      <c r="B33" s="17" t="s">
        <v>51</v>
      </c>
      <c r="C33" s="17" t="s">
        <v>137</v>
      </c>
      <c r="D33" s="3" t="str">
        <f t="shared" si="0"/>
        <v>P</v>
      </c>
      <c r="E33" s="5" t="str">
        <f t="shared" si="1"/>
        <v>15/10/1993</v>
      </c>
      <c r="F33" s="2" t="str">
        <f t="shared" ca="1" si="2"/>
        <v>32 Tahun</v>
      </c>
      <c r="G33" s="4" t="str">
        <f t="shared" si="3"/>
        <v>15/10/1993_Jl-P-15/10/1993-M</v>
      </c>
      <c r="H33" s="17" t="s">
        <v>86</v>
      </c>
      <c r="I33" s="2" t="str">
        <f>INDEX(Data_Acuan!$C$8:$C$11,MATCH(LEFT(Soal!H33,3),Data_Acuan!$B$8:$B$11,0))</f>
        <v>Kelas 1</v>
      </c>
      <c r="J33" s="12" t="str">
        <f>CONCATENATE(HLOOKUP(MID(H33,16,1),Data_Acuan!$H$5:$N$7,2,0)&amp;" - "&amp;IF(RIGHT(H33,1)="R","Ringan","Berat"))</f>
        <v>Pasca Operasi Caesar - Berat</v>
      </c>
      <c r="K33" s="20" t="str">
        <f t="shared" si="4"/>
        <v>29/05/25</v>
      </c>
      <c r="L33" s="5" cm="1">
        <f t="array" ref="L33">_xlfn.IFS(RIGHT(J33,6)="Ringan",K33+3,RIGHT(J33,5)="Berat",K33+7)</f>
        <v>45813</v>
      </c>
      <c r="M33" s="3" t="str">
        <f t="shared" si="5"/>
        <v>7 Hari</v>
      </c>
      <c r="N33" s="8">
        <f>VLOOKUP(I33,Data_Acuan!$C$8:$F$11,2,0)*LEFT(M33,1)</f>
        <v>5250000</v>
      </c>
      <c r="O33" s="8">
        <f>HLOOKUP(MID(H33,16,1),Data_Acuan!$H$5:$N$7,3,0)</f>
        <v>500000</v>
      </c>
      <c r="P33" s="8">
        <f>INDEX(Data_Acuan!$E$8:$F$11,MATCH(Soal!I33,Data_Acuan!$C$8:$C$11,0),MATCH(IF(RIGHT(H33,1)="R","Ringan","Berat"),Data_Acuan!$E$7:$F$7,0))</f>
        <v>500000</v>
      </c>
      <c r="Q33" s="15">
        <f t="shared" si="6"/>
        <v>6250000</v>
      </c>
      <c r="R33" s="15" t="str">
        <f t="shared" si="7"/>
        <v>Mandiri</v>
      </c>
      <c r="S33" s="8" cm="1">
        <f t="array" ref="S33">_xlfn.IFS(R33="BPJS",(20%*(N33+O33)+P33+Q33*10%),R33="Mandiri",SUM(N33:P33)+Q33*10%)</f>
        <v>6875000</v>
      </c>
    </row>
    <row r="34" spans="1:19" x14ac:dyDescent="0.3">
      <c r="A34" s="16">
        <v>28</v>
      </c>
      <c r="B34" s="17" t="s">
        <v>52</v>
      </c>
      <c r="C34" s="17" t="s">
        <v>138</v>
      </c>
      <c r="D34" s="3" t="str">
        <f t="shared" si="0"/>
        <v>P</v>
      </c>
      <c r="E34" s="5" t="str">
        <f t="shared" si="1"/>
        <v>29/12/1999</v>
      </c>
      <c r="F34" s="2" t="str">
        <f t="shared" ca="1" si="2"/>
        <v>26 Tahun</v>
      </c>
      <c r="G34" s="4" t="str">
        <f t="shared" si="3"/>
        <v>29/12/1999_Jl-P-29/12/1999-B</v>
      </c>
      <c r="H34" s="17" t="s">
        <v>87</v>
      </c>
      <c r="I34" s="2" t="str">
        <f>INDEX(Data_Acuan!$C$8:$C$11,MATCH(LEFT(Soal!H34,3),Data_Acuan!$B$8:$B$11,0))</f>
        <v>Kelas 2</v>
      </c>
      <c r="J34" s="12" t="str">
        <f>CONCATENATE(HLOOKUP(MID(H34,16,1),Data_Acuan!$H$5:$N$7,2,0)&amp;" - "&amp;IF(RIGHT(H34,1)="R","Ringan","Berat"))</f>
        <v>Gagal Ginjal - Ringan</v>
      </c>
      <c r="K34" s="20" t="str">
        <f t="shared" si="4"/>
        <v>29/05/25</v>
      </c>
      <c r="L34" s="5" cm="1">
        <f t="array" ref="L34">_xlfn.IFS(RIGHT(J34,6)="Ringan",K34+3,RIGHT(J34,5)="Berat",K34+7)</f>
        <v>45809</v>
      </c>
      <c r="M34" s="3" t="str">
        <f t="shared" si="5"/>
        <v>3 Hari</v>
      </c>
      <c r="N34" s="8">
        <f>VLOOKUP(I34,Data_Acuan!$C$8:$F$11,2,0)*LEFT(M34,1)</f>
        <v>1500000</v>
      </c>
      <c r="O34" s="8">
        <f>HLOOKUP(MID(H34,16,1),Data_Acuan!$H$5:$N$7,3,0)</f>
        <v>600000</v>
      </c>
      <c r="P34" s="8">
        <f>INDEX(Data_Acuan!$E$8:$F$11,MATCH(Soal!I34,Data_Acuan!$C$8:$C$11,0),MATCH(IF(RIGHT(H34,1)="R","Ringan","Berat"),Data_Acuan!$E$7:$F$7,0))</f>
        <v>200000</v>
      </c>
      <c r="Q34" s="15">
        <f t="shared" si="6"/>
        <v>2300000</v>
      </c>
      <c r="R34" s="15" t="str">
        <f t="shared" si="7"/>
        <v>BPJS</v>
      </c>
      <c r="S34" s="8" cm="1">
        <f t="array" ref="S34">_xlfn.IFS(R34="BPJS",(20%*(N34+O34)+P34+Q34*10%),R34="Mandiri",SUM(N34:P34)+Q34*10%)</f>
        <v>850000</v>
      </c>
    </row>
    <row r="35" spans="1:19" x14ac:dyDescent="0.3">
      <c r="A35" s="16">
        <v>29</v>
      </c>
      <c r="B35" s="17" t="s">
        <v>53</v>
      </c>
      <c r="C35" s="17" t="s">
        <v>139</v>
      </c>
      <c r="D35" s="3" t="str">
        <f t="shared" si="0"/>
        <v>L</v>
      </c>
      <c r="E35" s="5" t="str">
        <f t="shared" si="1"/>
        <v>13/05/2000</v>
      </c>
      <c r="F35" s="2" t="str">
        <f t="shared" ca="1" si="2"/>
        <v>25 Tahun</v>
      </c>
      <c r="G35" s="4" t="str">
        <f t="shared" si="3"/>
        <v>13/05/2000_Jl-L-13/05/2000-M</v>
      </c>
      <c r="H35" s="17" t="s">
        <v>89</v>
      </c>
      <c r="I35" s="2" t="str">
        <f>INDEX(Data_Acuan!$C$8:$C$11,MATCH(LEFT(Soal!H35,3),Data_Acuan!$B$8:$B$11,0))</f>
        <v>Kelas 1</v>
      </c>
      <c r="J35" s="12" t="str">
        <f>CONCATENATE(HLOOKUP(MID(H35,16,1),Data_Acuan!$H$5:$N$7,2,0)&amp;" - "&amp;IF(RIGHT(H35,1)="R","Ringan","Berat"))</f>
        <v>Typus (Tifoid) - Berat</v>
      </c>
      <c r="K35" s="20" t="str">
        <f t="shared" si="4"/>
        <v>30/05/25</v>
      </c>
      <c r="L35" s="5" cm="1">
        <f t="array" ref="L35">_xlfn.IFS(RIGHT(J35,6)="Ringan",K35+3,RIGHT(J35,5)="Berat",K35+7)</f>
        <v>45814</v>
      </c>
      <c r="M35" s="3" t="str">
        <f t="shared" si="5"/>
        <v>7 Hari</v>
      </c>
      <c r="N35" s="8">
        <f>VLOOKUP(I35,Data_Acuan!$C$8:$F$11,2,0)*LEFT(M35,1)</f>
        <v>5250000</v>
      </c>
      <c r="O35" s="8">
        <f>HLOOKUP(MID(H35,16,1),Data_Acuan!$H$5:$N$7,3,0)</f>
        <v>250000</v>
      </c>
      <c r="P35" s="8">
        <f>INDEX(Data_Acuan!$E$8:$F$11,MATCH(Soal!I35,Data_Acuan!$C$8:$C$11,0),MATCH(IF(RIGHT(H35,1)="R","Ringan","Berat"),Data_Acuan!$E$7:$F$7,0))</f>
        <v>500000</v>
      </c>
      <c r="Q35" s="15">
        <f t="shared" si="6"/>
        <v>6000000</v>
      </c>
      <c r="R35" s="15" t="str">
        <f t="shared" si="7"/>
        <v>Mandiri</v>
      </c>
      <c r="S35" s="8" cm="1">
        <f t="array" ref="S35">_xlfn.IFS(R35="BPJS",(20%*(N35+O35)+P35+Q35*10%),R35="Mandiri",SUM(N35:P35)+Q35*10%)</f>
        <v>6600000</v>
      </c>
    </row>
    <row r="36" spans="1:19" x14ac:dyDescent="0.3">
      <c r="A36" s="16">
        <v>30</v>
      </c>
      <c r="B36" s="17" t="s">
        <v>54</v>
      </c>
      <c r="C36" s="17" t="s">
        <v>140</v>
      </c>
      <c r="D36" s="3" t="str">
        <f t="shared" si="0"/>
        <v>L</v>
      </c>
      <c r="E36" s="5" t="str">
        <f t="shared" si="1"/>
        <v>20/06/1971</v>
      </c>
      <c r="F36" s="2" t="str">
        <f t="shared" ca="1" si="2"/>
        <v>54 Tahun</v>
      </c>
      <c r="G36" s="4" t="str">
        <f t="shared" si="3"/>
        <v>20/06/1971_Jl-L-20/06/1971-M</v>
      </c>
      <c r="H36" s="17" t="s">
        <v>90</v>
      </c>
      <c r="I36" s="2" t="str">
        <f>INDEX(Data_Acuan!$C$8:$C$11,MATCH(LEFT(Soal!H36,3),Data_Acuan!$B$8:$B$11,0))</f>
        <v>VIP</v>
      </c>
      <c r="J36" s="12" t="str">
        <f>CONCATENATE(HLOOKUP(MID(H36,16,1),Data_Acuan!$H$5:$N$7,2,0)&amp;" - "&amp;IF(RIGHT(H36,1)="R","Ringan","Berat"))</f>
        <v>Pneumonia (Radang Paru-paru) - Berat</v>
      </c>
      <c r="K36" s="20" t="str">
        <f t="shared" si="4"/>
        <v>31/05/25</v>
      </c>
      <c r="L36" s="5" cm="1">
        <f t="array" ref="L36">_xlfn.IFS(RIGHT(J36,6)="Ringan",K36+3,RIGHT(J36,5)="Berat",K36+7)</f>
        <v>45815</v>
      </c>
      <c r="M36" s="3" t="str">
        <f t="shared" si="5"/>
        <v>7 Hari</v>
      </c>
      <c r="N36" s="8">
        <f>VLOOKUP(I36,Data_Acuan!$C$8:$F$11,2,0)*LEFT(M36,1)</f>
        <v>8400000</v>
      </c>
      <c r="O36" s="8">
        <f>HLOOKUP(MID(H36,16,1),Data_Acuan!$H$5:$N$7,3,0)</f>
        <v>350000</v>
      </c>
      <c r="P36" s="8">
        <f>INDEX(Data_Acuan!$E$8:$F$11,MATCH(Soal!I36,Data_Acuan!$C$8:$C$11,0),MATCH(IF(RIGHT(H36,1)="R","Ringan","Berat"),Data_Acuan!$E$7:$F$7,0))</f>
        <v>600000</v>
      </c>
      <c r="Q36" s="15">
        <f t="shared" si="6"/>
        <v>9350000</v>
      </c>
      <c r="R36" s="15" t="str">
        <f t="shared" si="7"/>
        <v>Mandiri</v>
      </c>
      <c r="S36" s="8" cm="1">
        <f t="array" ref="S36">_xlfn.IFS(R36="BPJS",(20%*(N36+O36)+P36+Q36*10%),R36="Mandiri",SUM(N36:P36)+Q36*10%)</f>
        <v>10285000</v>
      </c>
    </row>
    <row r="39" spans="1:19" x14ac:dyDescent="0.3">
      <c r="D39" s="22" t="s">
        <v>142</v>
      </c>
      <c r="E39" s="22"/>
      <c r="F39" s="22"/>
      <c r="G39" s="22"/>
      <c r="H39" s="22"/>
    </row>
    <row r="40" spans="1:19" x14ac:dyDescent="0.3">
      <c r="D40" s="18">
        <v>1</v>
      </c>
      <c r="E40" s="28" t="s">
        <v>147</v>
      </c>
      <c r="F40" s="28"/>
      <c r="G40" s="28"/>
      <c r="H40" s="28"/>
    </row>
    <row r="41" spans="1:19" x14ac:dyDescent="0.3">
      <c r="D41" s="18">
        <v>2</v>
      </c>
      <c r="E41" s="28" t="s">
        <v>148</v>
      </c>
      <c r="F41" s="28"/>
      <c r="G41" s="28"/>
      <c r="H41" s="28"/>
    </row>
    <row r="42" spans="1:19" x14ac:dyDescent="0.3">
      <c r="D42" s="26">
        <v>3</v>
      </c>
      <c r="E42" s="29" t="s">
        <v>149</v>
      </c>
      <c r="F42" s="29"/>
      <c r="G42" s="29"/>
      <c r="H42" s="29"/>
    </row>
    <row r="43" spans="1:19" x14ac:dyDescent="0.3">
      <c r="D43" s="26"/>
      <c r="E43" s="29"/>
      <c r="F43" s="29"/>
      <c r="G43" s="29"/>
      <c r="H43" s="29"/>
    </row>
    <row r="44" spans="1:19" x14ac:dyDescent="0.3">
      <c r="D44" s="18">
        <v>4</v>
      </c>
      <c r="E44" s="28" t="s">
        <v>150</v>
      </c>
      <c r="F44" s="28"/>
      <c r="G44" s="28"/>
      <c r="H44" s="28"/>
    </row>
    <row r="45" spans="1:19" x14ac:dyDescent="0.3">
      <c r="D45" s="26">
        <v>5</v>
      </c>
      <c r="E45" s="27" t="s">
        <v>151</v>
      </c>
      <c r="F45" s="27"/>
      <c r="G45" s="27"/>
      <c r="H45" s="27"/>
    </row>
    <row r="46" spans="1:19" x14ac:dyDescent="0.3">
      <c r="D46" s="26"/>
      <c r="E46" s="27"/>
      <c r="F46" s="27"/>
      <c r="G46" s="27"/>
      <c r="H46" s="27"/>
    </row>
    <row r="47" spans="1:19" ht="15" customHeight="1" x14ac:dyDescent="0.3">
      <c r="D47" s="26">
        <v>6</v>
      </c>
      <c r="E47" s="27" t="s">
        <v>152</v>
      </c>
      <c r="F47" s="27"/>
      <c r="G47" s="27"/>
      <c r="H47" s="27"/>
      <c r="I47" s="30" t="s">
        <v>144</v>
      </c>
      <c r="J47" s="30"/>
    </row>
    <row r="48" spans="1:19" x14ac:dyDescent="0.3">
      <c r="D48" s="26"/>
      <c r="E48" s="27"/>
      <c r="F48" s="27"/>
      <c r="G48" s="27"/>
      <c r="H48" s="27"/>
      <c r="I48" s="30"/>
      <c r="J48" s="30"/>
    </row>
    <row r="49" spans="4:10" x14ac:dyDescent="0.3">
      <c r="D49" s="26"/>
      <c r="E49" s="27"/>
      <c r="F49" s="27"/>
      <c r="G49" s="27"/>
      <c r="H49" s="27"/>
      <c r="I49" s="30"/>
      <c r="J49" s="30"/>
    </row>
    <row r="50" spans="4:10" x14ac:dyDescent="0.3">
      <c r="D50" s="18">
        <v>7</v>
      </c>
      <c r="E50" s="28" t="s">
        <v>153</v>
      </c>
      <c r="F50" s="28"/>
      <c r="G50" s="28"/>
      <c r="H50" s="28"/>
    </row>
    <row r="51" spans="4:10" x14ac:dyDescent="0.3">
      <c r="D51" s="26">
        <v>8</v>
      </c>
      <c r="E51" s="28" t="s">
        <v>154</v>
      </c>
      <c r="F51" s="28"/>
      <c r="G51" s="28"/>
      <c r="H51" s="28"/>
    </row>
    <row r="52" spans="4:10" x14ac:dyDescent="0.3">
      <c r="D52" s="26"/>
      <c r="E52" s="19"/>
      <c r="F52" s="28" t="s">
        <v>161</v>
      </c>
      <c r="G52" s="28"/>
      <c r="H52" s="28"/>
    </row>
    <row r="53" spans="4:10" x14ac:dyDescent="0.3">
      <c r="D53" s="26"/>
      <c r="E53" s="19"/>
      <c r="F53" s="28" t="s">
        <v>162</v>
      </c>
      <c r="G53" s="28"/>
      <c r="H53" s="28"/>
    </row>
    <row r="54" spans="4:10" x14ac:dyDescent="0.3">
      <c r="D54" s="26">
        <v>9</v>
      </c>
      <c r="E54" s="27" t="s">
        <v>155</v>
      </c>
      <c r="F54" s="27"/>
      <c r="G54" s="27"/>
      <c r="H54" s="27"/>
    </row>
    <row r="55" spans="4:10" x14ac:dyDescent="0.3">
      <c r="D55" s="26"/>
      <c r="E55" s="27"/>
      <c r="F55" s="27"/>
      <c r="G55" s="27"/>
      <c r="H55" s="27"/>
    </row>
    <row r="56" spans="4:10" x14ac:dyDescent="0.3">
      <c r="D56" s="18">
        <v>10</v>
      </c>
      <c r="E56" s="28" t="s">
        <v>156</v>
      </c>
      <c r="F56" s="28"/>
      <c r="G56" s="28"/>
      <c r="H56" s="28"/>
    </row>
    <row r="57" spans="4:10" x14ac:dyDescent="0.3">
      <c r="D57" s="18">
        <v>11</v>
      </c>
      <c r="E57" s="28" t="s">
        <v>157</v>
      </c>
      <c r="F57" s="28"/>
      <c r="G57" s="28"/>
      <c r="H57" s="28"/>
    </row>
    <row r="58" spans="4:10" x14ac:dyDescent="0.3">
      <c r="D58" s="26">
        <v>12</v>
      </c>
      <c r="E58" s="27" t="s">
        <v>158</v>
      </c>
      <c r="F58" s="27"/>
      <c r="G58" s="27"/>
      <c r="H58" s="27"/>
    </row>
    <row r="59" spans="4:10" x14ac:dyDescent="0.3">
      <c r="D59" s="26"/>
      <c r="E59" s="27"/>
      <c r="F59" s="27"/>
      <c r="G59" s="27"/>
      <c r="H59" s="27"/>
    </row>
    <row r="60" spans="4:10" x14ac:dyDescent="0.3">
      <c r="D60" s="18">
        <v>13</v>
      </c>
      <c r="E60" s="31" t="s">
        <v>159</v>
      </c>
      <c r="F60" s="28"/>
      <c r="G60" s="28"/>
      <c r="H60" s="28"/>
    </row>
    <row r="61" spans="4:10" x14ac:dyDescent="0.3">
      <c r="D61" s="18">
        <v>14</v>
      </c>
      <c r="E61" s="28" t="s">
        <v>160</v>
      </c>
      <c r="F61" s="28"/>
      <c r="G61" s="28"/>
      <c r="H61" s="28"/>
    </row>
    <row r="62" spans="4:10" x14ac:dyDescent="0.3">
      <c r="D62" s="26">
        <v>15</v>
      </c>
      <c r="E62" s="31" t="s">
        <v>165</v>
      </c>
      <c r="F62" s="28"/>
      <c r="G62" s="28"/>
      <c r="H62" s="28"/>
    </row>
    <row r="63" spans="4:10" x14ac:dyDescent="0.3">
      <c r="D63" s="26"/>
      <c r="E63" s="28"/>
      <c r="F63" s="27" t="s">
        <v>163</v>
      </c>
      <c r="G63" s="27"/>
      <c r="H63" s="27"/>
    </row>
    <row r="64" spans="4:10" x14ac:dyDescent="0.3">
      <c r="D64" s="26"/>
      <c r="E64" s="28"/>
      <c r="F64" s="27"/>
      <c r="G64" s="27"/>
      <c r="H64" s="27"/>
    </row>
    <row r="65" spans="4:8" x14ac:dyDescent="0.3">
      <c r="D65" s="26"/>
      <c r="E65" s="28"/>
      <c r="F65" s="27" t="s">
        <v>164</v>
      </c>
      <c r="G65" s="27"/>
      <c r="H65" s="27"/>
    </row>
    <row r="66" spans="4:8" x14ac:dyDescent="0.3">
      <c r="D66" s="26"/>
      <c r="E66" s="28"/>
      <c r="F66" s="27"/>
      <c r="G66" s="27"/>
      <c r="H66" s="27"/>
    </row>
    <row r="67" spans="4:8" x14ac:dyDescent="0.3">
      <c r="D67" s="18">
        <v>16</v>
      </c>
      <c r="E67" s="28" t="s">
        <v>166</v>
      </c>
      <c r="F67" s="28"/>
      <c r="G67" s="28"/>
      <c r="H67" s="28"/>
    </row>
  </sheetData>
  <mergeCells count="53">
    <mergeCell ref="F63:H64"/>
    <mergeCell ref="E63:E64"/>
    <mergeCell ref="E67:H67"/>
    <mergeCell ref="F65:H66"/>
    <mergeCell ref="D62:D66"/>
    <mergeCell ref="E65:E66"/>
    <mergeCell ref="E62:H62"/>
    <mergeCell ref="E58:H59"/>
    <mergeCell ref="D58:D59"/>
    <mergeCell ref="E60:H60"/>
    <mergeCell ref="E61:H61"/>
    <mergeCell ref="F53:H53"/>
    <mergeCell ref="D51:D53"/>
    <mergeCell ref="E54:H55"/>
    <mergeCell ref="D54:D55"/>
    <mergeCell ref="E56:H56"/>
    <mergeCell ref="E57:H57"/>
    <mergeCell ref="I47:J49"/>
    <mergeCell ref="E50:H50"/>
    <mergeCell ref="E51:H51"/>
    <mergeCell ref="F52:H52"/>
    <mergeCell ref="E44:H44"/>
    <mergeCell ref="E45:H46"/>
    <mergeCell ref="D45:D46"/>
    <mergeCell ref="E47:H49"/>
    <mergeCell ref="D47:D49"/>
    <mergeCell ref="E40:H40"/>
    <mergeCell ref="E41:H41"/>
    <mergeCell ref="E42:H43"/>
    <mergeCell ref="D42:D43"/>
    <mergeCell ref="D39:H39"/>
    <mergeCell ref="S5:S6"/>
    <mergeCell ref="R5:R6"/>
    <mergeCell ref="A1:S1"/>
    <mergeCell ref="A2:S2"/>
    <mergeCell ref="A3:S3"/>
    <mergeCell ref="M5:M6"/>
    <mergeCell ref="N5:N6"/>
    <mergeCell ref="O5:O6"/>
    <mergeCell ref="P5:P6"/>
    <mergeCell ref="Q5:Q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Diri</vt:lpstr>
      <vt:lpstr>Data_Acuan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daffa azhari</cp:lastModifiedBy>
  <dcterms:created xsi:type="dcterms:W3CDTF">2025-05-14T00:48:34Z</dcterms:created>
  <dcterms:modified xsi:type="dcterms:W3CDTF">2026-03-13T01:41:45Z</dcterms:modified>
</cp:coreProperties>
</file>